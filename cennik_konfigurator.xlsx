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ník" sheetId="1" state="visible" r:id="rId3"/>
    <sheet name="Kalkulačka" sheetId="2" state="visible" r:id="rId4"/>
    <sheet name="Scenáre zákazníkov" sheetId="3" state="visible" r:id="rId5"/>
  </sheets>
  <definedNames>
    <definedName function="false" hidden="false" name="MAT_KOZA_JEDNO" vbProcedure="false">Cenník!$B$10</definedName>
    <definedName function="false" hidden="false" name="MAT_KOZA_PRESIV" vbProcedure="false">Cenník!$B$11</definedName>
    <definedName function="false" hidden="false" name="MAT_KOZA_TONOV" vbProcedure="false">Cenník!$B$12</definedName>
    <definedName function="false" hidden="false" name="MAT_MIKRO_DVOJ" vbProcedure="false">Cenník!$B$14</definedName>
    <definedName function="false" hidden="false" name="MAT_MIKRO_JEDNO" vbProcedure="false">Cenník!$B$13</definedName>
    <definedName function="false" hidden="false" name="NAS_BOKY" vbProcedure="false">Cenník!$B$24</definedName>
    <definedName function="false" hidden="false" name="NAS_BOKY_SAMO" vbProcedure="false">Cenník!$C$24</definedName>
    <definedName function="false" hidden="false" name="NAS_BUNDLE" vbProcedure="false">Cenník!$B$25</definedName>
    <definedName function="false" hidden="false" name="NAS_DVERE" vbProcedure="false">Cenník!$B$41</definedName>
    <definedName function="false" hidden="false" name="NAS_STRED" vbProcedure="false">Cenník!$B$23</definedName>
    <definedName function="false" hidden="false" name="NAS_STRED_SAMO" vbProcedure="false">Cenník!$C$23</definedName>
    <definedName function="false" hidden="false" name="TAPACIR_BUNDLE" vbProcedure="false">Cenník!$B$33</definedName>
    <definedName function="false" hidden="false" name="TAPACIR_SAMO" vbProcedure="false">Cenník!$C$33</definedName>
    <definedName function="false" hidden="false" name="ZAKLAD" vbProcedure="false">Cenník!$B$7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<sst xmlns="http://schemas.openxmlformats.org/spreadsheetml/2006/main" count="132" uniqueCount="107">
  <si>
    <t xml:space="preserve">KONFIGURÁTOR KAMIÓNOV — CENNÍK</t>
  </si>
  <si>
    <t xml:space="preserve">Modré = editovateľné ceny · Zelené = bundle cena (úspora) · LUXURY CAR DESIGN</t>
  </si>
  <si>
    <t xml:space="preserve">Položka</t>
  </si>
  <si>
    <t xml:space="preserve">Cena v konfigurátore (€)</t>
  </si>
  <si>
    <t xml:space="preserve">Samostatná cena (€)</t>
  </si>
  <si>
    <t xml:space="preserve">Úspora</t>
  </si>
  <si>
    <t xml:space="preserve">Poznámka</t>
  </si>
  <si>
    <t xml:space="preserve">BOD 1 — ZÁKLADNÁ CENA PRODUKTU</t>
  </si>
  <si>
    <t xml:space="preserve">Autokoberce (základ)</t>
  </si>
  <si>
    <t xml:space="preserve">Východisková cena produktu — platí pre akékoľvek vozidlo</t>
  </si>
  <si>
    <t xml:space="preserve">BOD 2 — MATERIÁL (len druh mení cenu, farba NIE)</t>
  </si>
  <si>
    <t xml:space="preserve">Prémiová syntetická koža – jednofarebná</t>
  </si>
  <si>
    <t xml:space="preserve">Základ — bez príplatku</t>
  </si>
  <si>
    <t xml:space="preserve">Prémiová syntetická koža – prešívaná</t>
  </si>
  <si>
    <t xml:space="preserve">Príplatok — prešívaný povrch</t>
  </si>
  <si>
    <t xml:space="preserve">Prémiová syntetická koža – tónovaná</t>
  </si>
  <si>
    <t xml:space="preserve">Príplatok — tónovaný vzhľad</t>
  </si>
  <si>
    <t xml:space="preserve">Mikrosemiš – jednofarebný</t>
  </si>
  <si>
    <t xml:space="preserve">Príplatok — jemný povrch</t>
  </si>
  <si>
    <t xml:space="preserve">Mikrosemiš – dvojfarebný</t>
  </si>
  <si>
    <t xml:space="preserve">Príplatok — dvojfarebný efekt</t>
  </si>
  <si>
    <t xml:space="preserve">Farba materiálu</t>
  </si>
  <si>
    <t xml:space="preserve">Všetky farby v cene — NEMENÍ cenu</t>
  </si>
  <si>
    <t xml:space="preserve">BOD 3 — LEMOVANIE (NEMENÍ cenu)</t>
  </si>
  <si>
    <t xml:space="preserve">Všetky druhy lemovania</t>
  </si>
  <si>
    <t xml:space="preserve">V cene základu — zákazník vyberá bez príplatku</t>
  </si>
  <si>
    <t xml:space="preserve">BOD 4 — NÁŠIVKY (bod 4a mení cenu, 4b/4c NIE)</t>
  </si>
  <si>
    <t xml:space="preserve">4a — UMIESTNENIE NÁŠIVIEK</t>
  </si>
  <si>
    <t xml:space="preserve">Bez nášiviek</t>
  </si>
  <si>
    <t xml:space="preserve">NEMENÍ cenu</t>
  </si>
  <si>
    <t xml:space="preserve">Len stred (samostatne)</t>
  </si>
  <si>
    <t xml:space="preserve">Cena A — nášivka iba na stredný koberec</t>
  </si>
  <si>
    <t xml:space="preserve">Šofér + spolujazdec (samostatne)</t>
  </si>
  <si>
    <t xml:space="preserve">Cena B — nášivky iba na dva predné koberce</t>
  </si>
  <si>
    <t xml:space="preserve">Šofér + spolujazdec + stred (BUNDLE)</t>
  </si>
  <si>
    <t xml:space="preserve">Cena C — kompletná sada za zvýhodnenú cenu</t>
  </si>
  <si>
    <t xml:space="preserve">4b &amp; 4c — DRUH NÁŠIVKY &amp; FARBA NITE (NEMENÍ cenu)</t>
  </si>
  <si>
    <t xml:space="preserve">Výber druhu nášivky a farby nite</t>
  </si>
  <si>
    <t xml:space="preserve">Všetky druhy nášiviek a farieb v cene</t>
  </si>
  <si>
    <t xml:space="preserve">BOD 5 — TAPACÍR DVERÍ</t>
  </si>
  <si>
    <t xml:space="preserve">5a — ÁNO / NIE CHCEM TAPACÍR</t>
  </si>
  <si>
    <t xml:space="preserve">Nie nechcem tapacír dverí</t>
  </si>
  <si>
    <t xml:space="preserve">Bez tapacíra — NEMENÍ cenu</t>
  </si>
  <si>
    <t xml:space="preserve">Áno chcem (v KONFIGURÁTORE — bundle)</t>
  </si>
  <si>
    <t xml:space="preserve">Bežne 179 €, v konfigurátore len 100 € (úspora 79 €)</t>
  </si>
  <si>
    <t xml:space="preserve">5b — MATERIÁL &amp; FARBA TAPACÍRA (NEMENÍ cenu)</t>
  </si>
  <si>
    <t xml:space="preserve">Materiál a farba tapacíra</t>
  </si>
  <si>
    <t xml:space="preserve">V cene tapacíra — NEMENÍ cenu</t>
  </si>
  <si>
    <t xml:space="preserve">5c — LEMOVANIE TAPACÍRA (NEMENÍ cenu)</t>
  </si>
  <si>
    <t xml:space="preserve">Lemovanie tapacíra</t>
  </si>
  <si>
    <t xml:space="preserve">5d — NÁŠIVKA NA DVERÁCH (áno = príplatok)</t>
  </si>
  <si>
    <t xml:space="preserve">Nie nechcem nášivku na dverách</t>
  </si>
  <si>
    <t xml:space="preserve">Áno chcem nášivku na dverách</t>
  </si>
  <si>
    <t xml:space="preserve">Príplatok za nášivku na tapacíri (vzorová cena — uprav podľa potreby)</t>
  </si>
  <si>
    <t xml:space="preserve">LEGENDA FARIEB</t>
  </si>
  <si>
    <t xml:space="preserve">Modrá hodnota</t>
  </si>
  <si>
    <t xml:space="preserve">editovateľná cena (zadáš svoju hodnotu)</t>
  </si>
  <si>
    <t xml:space="preserve">Zelené pozadie</t>
  </si>
  <si>
    <t xml:space="preserve">bundle cena v konfigurátore (výhodná oproti samostatnej cene)</t>
  </si>
  <si>
    <t xml:space="preserve">Stĺpec C (Samostatná cena)</t>
  </si>
  <si>
    <t xml:space="preserve">bežná cena ak by si kúpil položku mimo konfigurátora (motivuje zákazníka)</t>
  </si>
  <si>
    <t xml:space="preserve">ŽIVÁ KALKULAČKA — simulácia výberu zákazníka</t>
  </si>
  <si>
    <t xml:space="preserve">Vyber možnosti v stĺpci B pomocou rozbalovacieho menu. Cena sa automaticky prepočíta.</t>
  </si>
  <si>
    <t xml:space="preserve">Krok konfigurátora</t>
  </si>
  <si>
    <t xml:space="preserve">Výber zákazníka</t>
  </si>
  <si>
    <t xml:space="preserve">Cena (€)</t>
  </si>
  <si>
    <t xml:space="preserve">BOD 1 — Základ</t>
  </si>
  <si>
    <t xml:space="preserve">Autokoberce (základná cena)</t>
  </si>
  <si>
    <t xml:space="preserve">Pevná základná cena</t>
  </si>
  <si>
    <t xml:space="preserve">BOD 2 — Materiál</t>
  </si>
  <si>
    <t xml:space="preserve">Vyber druh materiálu (farba NEMENÍ cenu)</t>
  </si>
  <si>
    <t xml:space="preserve">BOD 3 — Lemovanie</t>
  </si>
  <si>
    <t xml:space="preserve">Ľubovoľné</t>
  </si>
  <si>
    <t xml:space="preserve">Lemovanie NEMENÍ cenu</t>
  </si>
  <si>
    <t xml:space="preserve">BOD 4a — Nášivky (umiestnenie)</t>
  </si>
  <si>
    <t xml:space="preserve">BOD 4b/c — Druh nášivky a nite</t>
  </si>
  <si>
    <t xml:space="preserve">Druh ani farba NEMENÍ cenu</t>
  </si>
  <si>
    <t xml:space="preserve">BOD 5a — Tapacír dverí</t>
  </si>
  <si>
    <t xml:space="preserve">Nie nechcem</t>
  </si>
  <si>
    <t xml:space="preserve">BOD 5b/c — Materiál a lemovanie tapacíra</t>
  </si>
  <si>
    <t xml:space="preserve">BOD 5d — Nášivka na dverách</t>
  </si>
  <si>
    <t xml:space="preserve">CENA SPOLU</t>
  </si>
  <si>
    <t xml:space="preserve">Výsledná cena pre zákazníka</t>
  </si>
  <si>
    <t xml:space="preserve">SÚHRN — KEBY BOL ZÁKAZNÍK VYBRAL VŠETKO SAMOSTATNE</t>
  </si>
  <si>
    <t xml:space="preserve">Hypotetická cena mimo konfigurátora</t>
  </si>
  <si>
    <t xml:space="preserve">Súčet samostatných cien</t>
  </si>
  <si>
    <t xml:space="preserve">TVOJA CENA V KONFIGURÁTORE</t>
  </si>
  <si>
    <t xml:space="preserve">ÚSPORA</t>
  </si>
  <si>
    <t xml:space="preserve">MODELOVÉ SCÉNÁRE — porovnanie cien pre marketing</t>
  </si>
  <si>
    <t xml:space="preserve">Položka / scenár</t>
  </si>
  <si>
    <t xml:space="preserve">Bez prílohy</t>
  </si>
  <si>
    <t xml:space="preserve">Minimal</t>
  </si>
  <si>
    <t xml:space="preserve">Štandard</t>
  </si>
  <si>
    <t xml:space="preserve">Stredná</t>
  </si>
  <si>
    <t xml:space="preserve">PRÉMIUM (max)</t>
  </si>
  <si>
    <t xml:space="preserve">Materiál</t>
  </si>
  <si>
    <t xml:space="preserve">Nášivky (4a)</t>
  </si>
  <si>
    <t xml:space="preserve">Len stred</t>
  </si>
  <si>
    <t xml:space="preserve">Šofér + spolujazdec</t>
  </si>
  <si>
    <t xml:space="preserve">Tapacír dverí (5a)</t>
  </si>
  <si>
    <t xml:space="preserve">Áno chcem (v konfigurátore)</t>
  </si>
  <si>
    <t xml:space="preserve">Nášivka na dverách (5d)</t>
  </si>
  <si>
    <t xml:space="preserve">Áno chcem</t>
  </si>
  <si>
    <t xml:space="preserve">Cena v konfigurátore</t>
  </si>
  <si>
    <t xml:space="preserve">Samostatné ceny (mimo konfigurátora)</t>
  </si>
  <si>
    <t xml:space="preserve">ÚSPORA (€)</t>
  </si>
  <si>
    <t xml:space="preserve">ÚSPORA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</si>
</sst>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[RED]\-#,##0&quot; €&quot;;\—"/>
    <numFmt numFmtId="166" formatCode="0%;\-0%;\—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0"/>
      <color rgb="FF2E1810"/>
      <name val="Calibri"/>
      <family val="0"/>
      <charset val="1"/>
    </font>
    <font>
      <b val="true"/>
      <sz val="11"/>
      <color rgb="FF2E1810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11"/>
      <color rgb="FF2E1810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0"/>
      <color rgb="FF9E9E9E"/>
      <name val="Calibri"/>
      <family val="0"/>
      <charset val="1"/>
    </font>
    <font>
      <b val="true"/>
      <sz val="11"/>
      <color rgb="FF4CAF50"/>
      <name val="Calibri"/>
      <family val="0"/>
      <charset val="1"/>
    </font>
    <font>
      <i val="true"/>
      <sz val="10"/>
      <color rgb="FF9E9E9E"/>
      <name val="Calibri"/>
      <family val="0"/>
      <charset val="1"/>
    </font>
    <font>
      <b val="true"/>
      <i val="true"/>
      <sz val="11"/>
      <color rgb="FF2E18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6"/>
      <color rgb="FF2E1810"/>
      <name val="Calibri"/>
      <family val="0"/>
      <charset val="1"/>
    </font>
    <font>
      <b val="true"/>
      <sz val="12"/>
      <color rgb="FF4CAF50"/>
      <name val="Calibri"/>
      <family val="0"/>
      <charset val="1"/>
    </font>
    <font>
      <b val="true"/>
      <sz val="12"/>
      <color rgb="FF2E181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1810"/>
        <bgColor rgb="FF333333"/>
      </patternFill>
    </fill>
    <fill>
      <patternFill patternType="solid">
        <fgColor rgb="FFFFF8DC"/>
        <bgColor rgb="FFFFFFE0"/>
      </patternFill>
    </fill>
    <fill>
      <patternFill patternType="solid">
        <fgColor rgb="FFC5A44E"/>
        <bgColor rgb="FF9E9E9E"/>
      </patternFill>
    </fill>
    <fill>
      <patternFill patternType="solid">
        <fgColor rgb="FFE8F5E9"/>
        <bgColor rgb="FFFFF8DC"/>
      </patternFill>
    </fill>
    <fill>
      <patternFill patternType="solid">
        <fgColor rgb="FFFFFFE0"/>
        <bgColor rgb="FFFFF8D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E0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8D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5A44E"/>
      <rgbColor rgb="FFFF6600"/>
      <rgbColor rgb="FF666699"/>
      <rgbColor rgb="FF9E9E9E"/>
      <rgbColor rgb="FF003366"/>
      <rgbColor rgb="FF4CAF50"/>
      <rgbColor rgb="FF003300"/>
      <rgbColor rgb="FF2E181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2"/>
    <col collapsed="false" customWidth="true" hidden="false" outlineLevel="0" max="4" min="4" style="0" width="14"/>
    <col collapsed="false" customWidth="true" hidden="false" outlineLevel="0" max="5" min="5" style="0" width="4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1.75" hidden="false" customHeight="true" outlineLevel="0" collapsed="false"/>
    <row r="6" customFormat="false" ht="25.5" hidden="false" customHeight="true" outlineLevel="0" collapsed="false">
      <c r="A6" s="4" t="s">
        <v>7</v>
      </c>
      <c r="B6" s="4"/>
      <c r="C6" s="4"/>
      <c r="D6" s="4"/>
      <c r="E6" s="4"/>
    </row>
    <row r="7" customFormat="false" ht="21.75" hidden="false" customHeight="true" outlineLevel="0" collapsed="false">
      <c r="A7" s="5" t="s">
        <v>8</v>
      </c>
      <c r="B7" s="6" t="n">
        <v>200</v>
      </c>
      <c r="C7" s="7"/>
      <c r="D7" s="8"/>
      <c r="E7" s="9" t="s">
        <v>9</v>
      </c>
    </row>
    <row r="8" customFormat="false" ht="21.75" hidden="false" customHeight="true" outlineLevel="0" collapsed="false"/>
    <row r="9" customFormat="false" ht="25.5" hidden="false" customHeight="true" outlineLevel="0" collapsed="false">
      <c r="A9" s="4" t="s">
        <v>10</v>
      </c>
      <c r="B9" s="4"/>
      <c r="C9" s="4"/>
      <c r="D9" s="4"/>
      <c r="E9" s="4"/>
    </row>
    <row r="10" customFormat="false" ht="21.75" hidden="false" customHeight="true" outlineLevel="0" collapsed="false">
      <c r="A10" s="5" t="s">
        <v>11</v>
      </c>
      <c r="B10" s="6" t="n">
        <v>0</v>
      </c>
      <c r="C10" s="7"/>
      <c r="D10" s="8"/>
      <c r="E10" s="9" t="s">
        <v>12</v>
      </c>
    </row>
    <row r="11" customFormat="false" ht="21.75" hidden="false" customHeight="true" outlineLevel="0" collapsed="false">
      <c r="A11" s="5" t="s">
        <v>13</v>
      </c>
      <c r="B11" s="6" t="n">
        <v>20</v>
      </c>
      <c r="C11" s="7"/>
      <c r="D11" s="8"/>
      <c r="E11" s="9" t="s">
        <v>14</v>
      </c>
    </row>
    <row r="12" customFormat="false" ht="21.75" hidden="false" customHeight="true" outlineLevel="0" collapsed="false">
      <c r="A12" s="5" t="s">
        <v>15</v>
      </c>
      <c r="B12" s="6" t="n">
        <v>20</v>
      </c>
      <c r="C12" s="7"/>
      <c r="D12" s="8"/>
      <c r="E12" s="9" t="s">
        <v>16</v>
      </c>
    </row>
    <row r="13" customFormat="false" ht="21.75" hidden="false" customHeight="true" outlineLevel="0" collapsed="false">
      <c r="A13" s="5" t="s">
        <v>17</v>
      </c>
      <c r="B13" s="6" t="n">
        <v>30</v>
      </c>
      <c r="C13" s="7"/>
      <c r="D13" s="8"/>
      <c r="E13" s="9" t="s">
        <v>18</v>
      </c>
    </row>
    <row r="14" customFormat="false" ht="21.75" hidden="false" customHeight="true" outlineLevel="0" collapsed="false">
      <c r="A14" s="5" t="s">
        <v>19</v>
      </c>
      <c r="B14" s="6" t="n">
        <v>40</v>
      </c>
      <c r="C14" s="7"/>
      <c r="D14" s="8"/>
      <c r="E14" s="9" t="s">
        <v>20</v>
      </c>
    </row>
    <row r="15" customFormat="false" ht="21.75" hidden="false" customHeight="true" outlineLevel="0" collapsed="false">
      <c r="A15" s="5" t="s">
        <v>21</v>
      </c>
      <c r="B15" s="6" t="n">
        <v>0</v>
      </c>
      <c r="C15" s="7"/>
      <c r="D15" s="8"/>
      <c r="E15" s="9" t="s">
        <v>22</v>
      </c>
    </row>
    <row r="16" customFormat="false" ht="21.75" hidden="false" customHeight="true" outlineLevel="0" collapsed="false"/>
    <row r="17" customFormat="false" ht="25.5" hidden="false" customHeight="true" outlineLevel="0" collapsed="false">
      <c r="A17" s="4" t="s">
        <v>23</v>
      </c>
      <c r="B17" s="4"/>
      <c r="C17" s="4"/>
      <c r="D17" s="4"/>
      <c r="E17" s="4"/>
    </row>
    <row r="18" customFormat="false" ht="21.75" hidden="false" customHeight="true" outlineLevel="0" collapsed="false">
      <c r="A18" s="5" t="s">
        <v>24</v>
      </c>
      <c r="B18" s="6" t="n">
        <v>0</v>
      </c>
      <c r="C18" s="7"/>
      <c r="D18" s="8"/>
      <c r="E18" s="9" t="s">
        <v>25</v>
      </c>
    </row>
    <row r="19" customFormat="false" ht="21.75" hidden="false" customHeight="true" outlineLevel="0" collapsed="false"/>
    <row r="20" customFormat="false" ht="25.5" hidden="false" customHeight="true" outlineLevel="0" collapsed="false">
      <c r="A20" s="4" t="s">
        <v>26</v>
      </c>
      <c r="B20" s="4"/>
      <c r="C20" s="4"/>
      <c r="D20" s="4"/>
      <c r="E20" s="4"/>
    </row>
    <row r="21" customFormat="false" ht="21.75" hidden="false" customHeight="true" outlineLevel="0" collapsed="false">
      <c r="A21" s="10" t="s">
        <v>27</v>
      </c>
      <c r="B21" s="10"/>
      <c r="C21" s="10"/>
      <c r="D21" s="10"/>
      <c r="E21" s="10"/>
    </row>
    <row r="22" customFormat="false" ht="21.75" hidden="false" customHeight="true" outlineLevel="0" collapsed="false">
      <c r="A22" s="5" t="s">
        <v>28</v>
      </c>
      <c r="B22" s="6" t="n">
        <v>0</v>
      </c>
      <c r="C22" s="7"/>
      <c r="D22" s="8"/>
      <c r="E22" s="9" t="s">
        <v>29</v>
      </c>
    </row>
    <row r="23" customFormat="false" ht="21.75" hidden="false" customHeight="true" outlineLevel="0" collapsed="false">
      <c r="A23" s="5" t="s">
        <v>30</v>
      </c>
      <c r="B23" s="6" t="n">
        <v>70</v>
      </c>
      <c r="C23" s="7" t="n">
        <v>70</v>
      </c>
      <c r="D23" s="8"/>
      <c r="E23" s="9" t="s">
        <v>31</v>
      </c>
    </row>
    <row r="24" customFormat="false" ht="21.75" hidden="false" customHeight="true" outlineLevel="0" collapsed="false">
      <c r="A24" s="5" t="s">
        <v>32</v>
      </c>
      <c r="B24" s="6" t="n">
        <v>70</v>
      </c>
      <c r="C24" s="7" t="n">
        <v>70</v>
      </c>
      <c r="D24" s="8"/>
      <c r="E24" s="9" t="s">
        <v>33</v>
      </c>
    </row>
    <row r="25" customFormat="false" ht="21.75" hidden="false" customHeight="true" outlineLevel="0" collapsed="false">
      <c r="A25" s="11" t="s">
        <v>34</v>
      </c>
      <c r="B25" s="12" t="n">
        <v>100</v>
      </c>
      <c r="C25" s="13" t="n">
        <v>140</v>
      </c>
      <c r="D25" s="14" t="n">
        <f aca="false">IF(AND(B25&gt;0,C25&gt;0),1-B25/C25,0)</f>
        <v>0.285714285714286</v>
      </c>
      <c r="E25" s="15" t="s">
        <v>35</v>
      </c>
    </row>
    <row r="26" customFormat="false" ht="21.75" hidden="false" customHeight="true" outlineLevel="0" collapsed="false"/>
    <row r="27" customFormat="false" ht="21.75" hidden="false" customHeight="true" outlineLevel="0" collapsed="false">
      <c r="A27" s="10" t="s">
        <v>36</v>
      </c>
      <c r="B27" s="10"/>
      <c r="C27" s="10"/>
      <c r="D27" s="10"/>
      <c r="E27" s="10"/>
    </row>
    <row r="28" customFormat="false" ht="21.75" hidden="false" customHeight="true" outlineLevel="0" collapsed="false">
      <c r="A28" s="5" t="s">
        <v>37</v>
      </c>
      <c r="B28" s="6" t="n">
        <v>0</v>
      </c>
      <c r="C28" s="7"/>
      <c r="D28" s="8"/>
      <c r="E28" s="9" t="s">
        <v>38</v>
      </c>
    </row>
    <row r="29" customFormat="false" ht="21.75" hidden="false" customHeight="true" outlineLevel="0" collapsed="false"/>
    <row r="30" customFormat="false" ht="25.5" hidden="false" customHeight="true" outlineLevel="0" collapsed="false">
      <c r="A30" s="4" t="s">
        <v>39</v>
      </c>
      <c r="B30" s="4"/>
      <c r="C30" s="4"/>
      <c r="D30" s="4"/>
      <c r="E30" s="4"/>
    </row>
    <row r="31" customFormat="false" ht="21.75" hidden="false" customHeight="true" outlineLevel="0" collapsed="false">
      <c r="A31" s="10" t="s">
        <v>40</v>
      </c>
      <c r="B31" s="10"/>
      <c r="C31" s="10"/>
      <c r="D31" s="10"/>
      <c r="E31" s="10"/>
    </row>
    <row r="32" customFormat="false" ht="21.75" hidden="false" customHeight="true" outlineLevel="0" collapsed="false">
      <c r="A32" s="5" t="s">
        <v>41</v>
      </c>
      <c r="B32" s="6" t="n">
        <v>0</v>
      </c>
      <c r="C32" s="7"/>
      <c r="D32" s="8"/>
      <c r="E32" s="9" t="s">
        <v>42</v>
      </c>
    </row>
    <row r="33" customFormat="false" ht="21.75" hidden="false" customHeight="true" outlineLevel="0" collapsed="false">
      <c r="A33" s="11" t="s">
        <v>43</v>
      </c>
      <c r="B33" s="12" t="n">
        <v>100</v>
      </c>
      <c r="C33" s="13" t="n">
        <v>179</v>
      </c>
      <c r="D33" s="14" t="n">
        <f aca="false">IF(AND(B33&gt;0,C33&gt;0),1-B33/C33,0)</f>
        <v>0.441340782122905</v>
      </c>
      <c r="E33" s="15" t="s">
        <v>44</v>
      </c>
    </row>
    <row r="34" customFormat="false" ht="21.75" hidden="false" customHeight="true" outlineLevel="0" collapsed="false"/>
    <row r="35" customFormat="false" ht="21.75" hidden="false" customHeight="true" outlineLevel="0" collapsed="false">
      <c r="A35" s="10" t="s">
        <v>45</v>
      </c>
      <c r="B35" s="10"/>
      <c r="C35" s="10"/>
      <c r="D35" s="10"/>
      <c r="E35" s="10"/>
    </row>
    <row r="36" customFormat="false" ht="21.75" hidden="false" customHeight="true" outlineLevel="0" collapsed="false">
      <c r="A36" s="5" t="s">
        <v>46</v>
      </c>
      <c r="B36" s="6" t="n">
        <v>0</v>
      </c>
      <c r="C36" s="7"/>
      <c r="D36" s="8"/>
      <c r="E36" s="9" t="s">
        <v>47</v>
      </c>
    </row>
    <row r="37" customFormat="false" ht="21.75" hidden="false" customHeight="true" outlineLevel="0" collapsed="false">
      <c r="A37" s="10" t="s">
        <v>48</v>
      </c>
      <c r="B37" s="10"/>
      <c r="C37" s="10"/>
      <c r="D37" s="10"/>
      <c r="E37" s="10"/>
    </row>
    <row r="38" customFormat="false" ht="21.75" hidden="false" customHeight="true" outlineLevel="0" collapsed="false">
      <c r="A38" s="5" t="s">
        <v>49</v>
      </c>
      <c r="B38" s="6" t="n">
        <v>0</v>
      </c>
      <c r="C38" s="7"/>
      <c r="D38" s="8"/>
      <c r="E38" s="9" t="s">
        <v>47</v>
      </c>
    </row>
    <row r="39" customFormat="false" ht="21.75" hidden="false" customHeight="true" outlineLevel="0" collapsed="false">
      <c r="A39" s="10" t="s">
        <v>50</v>
      </c>
      <c r="B39" s="10"/>
      <c r="C39" s="10"/>
      <c r="D39" s="10"/>
      <c r="E39" s="10"/>
    </row>
    <row r="40" customFormat="false" ht="21.75" hidden="false" customHeight="true" outlineLevel="0" collapsed="false">
      <c r="A40" s="5" t="s">
        <v>51</v>
      </c>
      <c r="B40" s="6" t="n">
        <v>0</v>
      </c>
      <c r="C40" s="7"/>
      <c r="D40" s="8"/>
      <c r="E40" s="9" t="s">
        <v>29</v>
      </c>
    </row>
    <row r="41" customFormat="false" ht="21.75" hidden="false" customHeight="true" outlineLevel="0" collapsed="false">
      <c r="A41" s="5" t="s">
        <v>52</v>
      </c>
      <c r="B41" s="6" t="n">
        <v>50</v>
      </c>
      <c r="C41" s="7" t="n">
        <v>50</v>
      </c>
      <c r="D41" s="8"/>
      <c r="E41" s="9" t="s">
        <v>53</v>
      </c>
    </row>
    <row r="42" customFormat="false" ht="21.75" hidden="false" customHeight="true" outlineLevel="0" collapsed="false"/>
    <row r="43" customFormat="false" ht="21.75" hidden="false" customHeight="true" outlineLevel="0" collapsed="false">
      <c r="A43" s="16" t="s">
        <v>54</v>
      </c>
      <c r="B43" s="16"/>
      <c r="C43" s="16"/>
      <c r="D43" s="16"/>
      <c r="E43" s="16"/>
    </row>
    <row r="44" customFormat="false" ht="21.75" hidden="false" customHeight="true" outlineLevel="0" collapsed="false">
      <c r="A44" s="17" t="s">
        <v>55</v>
      </c>
      <c r="B44" s="18" t="s">
        <v>56</v>
      </c>
      <c r="C44" s="18"/>
      <c r="D44" s="18"/>
      <c r="E44" s="18"/>
    </row>
    <row r="45" customFormat="false" ht="21.75" hidden="false" customHeight="true" outlineLevel="0" collapsed="false">
      <c r="A45" s="19" t="s">
        <v>57</v>
      </c>
      <c r="B45" s="18" t="s">
        <v>58</v>
      </c>
      <c r="C45" s="18"/>
      <c r="D45" s="18"/>
      <c r="E45" s="18"/>
    </row>
    <row r="46" customFormat="false" ht="21.75" hidden="false" customHeight="true" outlineLevel="0" collapsed="false">
      <c r="A46" s="20" t="s">
        <v>59</v>
      </c>
      <c r="B46" s="18" t="s">
        <v>60</v>
      </c>
      <c r="C46" s="18"/>
      <c r="D46" s="18"/>
      <c r="E46" s="18"/>
    </row>
  </sheetData>
  <mergeCells count="17">
    <mergeCell ref="A1:E1"/>
    <mergeCell ref="A2:E2"/>
    <mergeCell ref="A6:E6"/>
    <mergeCell ref="A9:E9"/>
    <mergeCell ref="A17:E17"/>
    <mergeCell ref="A20:E20"/>
    <mergeCell ref="A21:E21"/>
    <mergeCell ref="A27:E27"/>
    <mergeCell ref="A30:E30"/>
    <mergeCell ref="A31:E31"/>
    <mergeCell ref="A35:E35"/>
    <mergeCell ref="A37:E37"/>
    <mergeCell ref="A39:E39"/>
    <mergeCell ref="A43:E43"/>
    <mergeCell ref="B44:E44"/>
    <mergeCell ref="B45:E45"/>
    <mergeCell ref="B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5"/>
  </cols>
  <sheetData>
    <row r="1" customFormat="false" ht="36" hidden="false" customHeight="true" outlineLevel="0" collapsed="false">
      <c r="A1" s="1" t="s">
        <v>61</v>
      </c>
      <c r="B1" s="1"/>
      <c r="C1" s="1"/>
      <c r="D1" s="1"/>
    </row>
    <row r="2" customFormat="false" ht="21.75" hidden="false" customHeight="true" outlineLevel="0" collapsed="false">
      <c r="A2" s="2" t="s">
        <v>62</v>
      </c>
      <c r="B2" s="2"/>
      <c r="C2" s="2"/>
      <c r="D2" s="2"/>
    </row>
    <row r="4" customFormat="false" ht="27.75" hidden="false" customHeight="true" outlineLevel="0" collapsed="false">
      <c r="A4" s="3" t="s">
        <v>63</v>
      </c>
      <c r="B4" s="3" t="s">
        <v>64</v>
      </c>
      <c r="C4" s="3" t="s">
        <v>65</v>
      </c>
      <c r="D4" s="3" t="s">
        <v>6</v>
      </c>
    </row>
    <row r="5" customFormat="false" ht="15" hidden="false" customHeight="false" outlineLevel="0" collapsed="false">
      <c r="A5" s="21" t="s">
        <v>66</v>
      </c>
      <c r="B5" s="22" t="s">
        <v>67</v>
      </c>
      <c r="C5" s="23" t="n">
        <f aca="false">ZAKLAD</f>
        <v>200</v>
      </c>
      <c r="D5" s="22" t="s">
        <v>68</v>
      </c>
    </row>
    <row r="6" customFormat="false" ht="15" hidden="false" customHeight="false" outlineLevel="0" collapsed="false">
      <c r="A6" s="24" t="s">
        <v>69</v>
      </c>
      <c r="B6" s="25" t="s">
        <v>11</v>
      </c>
      <c r="C6" s="26" t="n">
        <f aca="false">IF(B6="Prémiová syntetická koža – jednofarebná",MAT_KOZA_JEDNO,IF(B6="Prémiová syntetická koža – prešívaná",MAT_KOZA_PRESIV,IF(B6="Prémiová syntetická koža – tónovaná",MAT_KOZA_TONOV,IF(B6="Mikrosemiš – jednofarebný",MAT_MIKRO_JEDNO,IF(B6="Mikrosemiš – dvojfarebný",MAT_MIKRO_DVOJ,0)))))</f>
        <v>0</v>
      </c>
      <c r="D6" s="27" t="s">
        <v>70</v>
      </c>
    </row>
    <row r="7" customFormat="false" ht="15" hidden="false" customHeight="false" outlineLevel="0" collapsed="false">
      <c r="A7" s="24" t="s">
        <v>71</v>
      </c>
      <c r="B7" s="25" t="s">
        <v>72</v>
      </c>
      <c r="C7" s="26" t="n">
        <v>0</v>
      </c>
      <c r="D7" s="27" t="s">
        <v>73</v>
      </c>
    </row>
    <row r="8" customFormat="false" ht="15" hidden="false" customHeight="false" outlineLevel="0" collapsed="false">
      <c r="A8" s="24" t="s">
        <v>74</v>
      </c>
      <c r="B8" s="25" t="s">
        <v>28</v>
      </c>
      <c r="C8" s="26" t="n">
        <f aca="false">IF(B8="Bez nášiviek",0,IF(B8="Len stred",NAS_STRED,IF(B8="Šofér + spolujazdec",NAS_BOKY,IF(B8="Šofér + spolujazdec + stred (BUNDLE)",NAS_BUNDLE,0))))</f>
        <v>0</v>
      </c>
      <c r="D8" s="27" t="str">
        <f aca="false">IF(B8="Šofér + spolujazdec + stred (BUNDLE)","✓ Ušetríte "&amp;TEXT(NAS_BOKY_SAMO+NAS_STRED_SAMO-NAS_BUNDLE,"0")&amp;" € oproti samostatnému výberu!","")</f>
        <v/>
      </c>
    </row>
    <row r="9" customFormat="false" ht="15" hidden="false" customHeight="false" outlineLevel="0" collapsed="false">
      <c r="A9" s="24" t="s">
        <v>75</v>
      </c>
      <c r="B9" s="25" t="s">
        <v>72</v>
      </c>
      <c r="C9" s="26" t="n">
        <v>0</v>
      </c>
      <c r="D9" s="27" t="s">
        <v>76</v>
      </c>
    </row>
    <row r="10" customFormat="false" ht="15" hidden="false" customHeight="false" outlineLevel="0" collapsed="false">
      <c r="A10" s="24" t="s">
        <v>77</v>
      </c>
      <c r="B10" s="25" t="s">
        <v>78</v>
      </c>
      <c r="C10" s="26" t="n">
        <f aca="false">IF(B10="Áno chcem (v konfigurátore)",TAPACIR_BUNDLE,0)</f>
        <v>0</v>
      </c>
      <c r="D10" s="27" t="str">
        <f aca="false">IF(B10="Áno chcem (v konfigurátore)","✓ Bežne "&amp;TEXT(TAPACIR_SAMO,"0")&amp;" €, ušetríte "&amp;TEXT(TAPACIR_SAMO-TAPACIR_BUNDLE,"0")&amp;" €!","")</f>
        <v/>
      </c>
    </row>
    <row r="11" customFormat="false" ht="23.85" hidden="false" customHeight="false" outlineLevel="0" collapsed="false">
      <c r="A11" s="24" t="s">
        <v>79</v>
      </c>
      <c r="B11" s="25" t="s">
        <v>72</v>
      </c>
      <c r="C11" s="26" t="n">
        <v>0</v>
      </c>
      <c r="D11" s="27" t="s">
        <v>29</v>
      </c>
    </row>
    <row r="12" customFormat="false" ht="15" hidden="false" customHeight="false" outlineLevel="0" collapsed="false">
      <c r="A12" s="24" t="s">
        <v>80</v>
      </c>
      <c r="B12" s="25" t="s">
        <v>78</v>
      </c>
      <c r="C12" s="26" t="n">
        <f aca="false">IF(B12="Áno chcem",NAS_DVERE,0)</f>
        <v>0</v>
      </c>
      <c r="D12" s="27" t="str">
        <f aca="false">IF(B12="Áno chcem","Príplatok za nášivku na dverách","")</f>
        <v/>
      </c>
    </row>
    <row r="14" customFormat="false" ht="36" hidden="false" customHeight="true" outlineLevel="0" collapsed="false">
      <c r="A14" s="28" t="s">
        <v>81</v>
      </c>
      <c r="B14" s="28"/>
      <c r="C14" s="29" t="n">
        <f aca="false">SUM(C5:C12)</f>
        <v>200</v>
      </c>
      <c r="D14" s="30" t="s">
        <v>82</v>
      </c>
    </row>
    <row r="16" customFormat="false" ht="24" hidden="false" customHeight="true" outlineLevel="0" collapsed="false">
      <c r="A16" s="4" t="s">
        <v>83</v>
      </c>
      <c r="B16" s="4"/>
      <c r="C16" s="4"/>
      <c r="D16" s="4"/>
    </row>
    <row r="17" customFormat="false" ht="24" hidden="false" customHeight="true" outlineLevel="0" collapsed="false">
      <c r="A17" s="24" t="s">
        <v>84</v>
      </c>
      <c r="B17" s="31"/>
      <c r="C17" s="32" t="n">
        <f aca="false">ZAKLAD+IF(B6="Prémiová syntetická koža – jednofarebná",MAT_KOZA_JEDNO,IF(B6="Prémiová syntetická koža – prešívaná",MAT_KOZA_PRESIV,IF(B6="Prémiová syntetická koža – tónovaná",MAT_KOZA_TONOV,IF(B6="Mikrosemiš – jednofarebný",MAT_MIKRO_JEDNO,IF(B6="Mikrosemiš – dvojfarebný",MAT_MIKRO_DVOJ,0)))))+IF(B8="Bez nášiviek",0,IF(B8="Len stred",NAS_STRED_SAMO,IF(B8="Šofér + spolujazdec",NAS_BOKY_SAMO,IF(B8="Šofér + spolujazdec + stred (BUNDLE)",NAS_BOKY_SAMO+NAS_STRED_SAMO,0))))+IF(B10="Áno chcem (v konfigurátore)",TAPACIR_SAMO,0)+IF(B12="Áno chcem",NAS_DVERE,0)</f>
        <v>200</v>
      </c>
      <c r="D17" s="31" t="s">
        <v>85</v>
      </c>
    </row>
    <row r="18" customFormat="false" ht="24" hidden="false" customHeight="true" outlineLevel="0" collapsed="false">
      <c r="A18" s="33" t="s">
        <v>86</v>
      </c>
      <c r="B18" s="31"/>
      <c r="C18" s="32" t="n">
        <f aca="false">C14</f>
        <v>200</v>
      </c>
      <c r="D18" s="31"/>
    </row>
    <row r="19" customFormat="false" ht="24" hidden="false" customHeight="true" outlineLevel="0" collapsed="false">
      <c r="A19" s="33" t="s">
        <v>87</v>
      </c>
      <c r="B19" s="31"/>
      <c r="C19" s="34" t="n">
        <f aca="false">C17-C14</f>
        <v>0</v>
      </c>
      <c r="D19" s="35" t="str">
        <f aca="false">IF(C17&gt;0,"= "&amp;TEXT((C17-C14)/C17,"0%")&amp;" zľava oproti mimokonfigurátorovej cene","")</f>
        <v>= 0% zľava oproti mimokonfigurátorovej cene</v>
      </c>
    </row>
  </sheetData>
  <mergeCells count="4">
    <mergeCell ref="A1:D1"/>
    <mergeCell ref="A2:D2"/>
    <mergeCell ref="A14:B14"/>
    <mergeCell ref="A16:D16"/>
  </mergeCells>
  <dataValidations count="4">
    <dataValidation allowBlank="false" errorStyle="stop" operator="between" showDropDown="false" showErrorMessage="false" showInputMessage="false" sqref="B6" type="list">
      <formula1>"Prémiová syntetická koža – jednofarebná,Prémiová syntetická koža – prešívaná,Prémiová syntetická koža – tónovaná,Mikrosemiš – jednofarebný,Mikrosemiš – dvojfarebný"</formula1>
      <formula2>0</formula2>
    </dataValidation>
    <dataValidation allowBlank="false" errorStyle="stop" operator="between" showDropDown="false" showErrorMessage="false" showInputMessage="false" sqref="B8" type="list">
      <formula1>"Bez nášiviek,Len stred,Šofér + spolujazdec,Šofér + spolujazdec + stred (BUNDLE)"</formula1>
      <formula2>0</formula2>
    </dataValidation>
    <dataValidation allowBlank="false" errorStyle="stop" operator="between" showDropDown="false" showErrorMessage="false" showInputMessage="false" sqref="B10" type="list">
      <formula1>"Nie nechcem,Áno chcem (v konfigurátore)"</formula1>
      <formula2>0</formula2>
    </dataValidation>
    <dataValidation allowBlank="false" errorStyle="stop" operator="between" showDropDown="false" showErrorMessage="false" showInputMessage="false" sqref="B12" type="list">
      <formula1>"Nie nechcem,Áno chcem"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24"/>
  </cols>
  <sheetData>
    <row r="1" customFormat="false" ht="36" hidden="false" customHeight="true" outlineLevel="0" collapsed="false">
      <c r="A1" s="1" t="s">
        <v>88</v>
      </c>
      <c r="B1" s="1"/>
      <c r="C1" s="1"/>
      <c r="D1" s="1"/>
      <c r="E1" s="1"/>
      <c r="F1" s="1"/>
    </row>
    <row r="3" customFormat="false" ht="25.5" hidden="false" customHeight="true" outlineLevel="0" collapsed="false">
      <c r="A3" s="3" t="s">
        <v>89</v>
      </c>
      <c r="B3" s="3" t="s">
        <v>90</v>
      </c>
      <c r="C3" s="3" t="s">
        <v>91</v>
      </c>
      <c r="D3" s="3" t="s">
        <v>92</v>
      </c>
      <c r="E3" s="3" t="s">
        <v>93</v>
      </c>
      <c r="F3" s="3" t="s">
        <v>94</v>
      </c>
    </row>
    <row r="4" customFormat="false" ht="25.5" hidden="false" customHeight="true" outlineLevel="0" collapsed="false">
      <c r="A4" s="24" t="s">
        <v>95</v>
      </c>
      <c r="B4" s="36" t="s">
        <v>11</v>
      </c>
      <c r="C4" s="36" t="s">
        <v>11</v>
      </c>
      <c r="D4" s="36" t="s">
        <v>13</v>
      </c>
      <c r="E4" s="36" t="s">
        <v>17</v>
      </c>
      <c r="F4" s="36" t="s">
        <v>19</v>
      </c>
    </row>
    <row r="5" customFormat="false" ht="25.5" hidden="false" customHeight="true" outlineLevel="0" collapsed="false">
      <c r="A5" s="24" t="s">
        <v>96</v>
      </c>
      <c r="B5" s="36" t="s">
        <v>28</v>
      </c>
      <c r="C5" s="36" t="s">
        <v>97</v>
      </c>
      <c r="D5" s="36" t="s">
        <v>98</v>
      </c>
      <c r="E5" s="36" t="s">
        <v>34</v>
      </c>
      <c r="F5" s="36" t="s">
        <v>34</v>
      </c>
    </row>
    <row r="6" customFormat="false" ht="25.5" hidden="false" customHeight="true" outlineLevel="0" collapsed="false">
      <c r="A6" s="24" t="s">
        <v>99</v>
      </c>
      <c r="B6" s="36" t="s">
        <v>78</v>
      </c>
      <c r="C6" s="36" t="s">
        <v>78</v>
      </c>
      <c r="D6" s="36" t="s">
        <v>78</v>
      </c>
      <c r="E6" s="36" t="s">
        <v>100</v>
      </c>
      <c r="F6" s="36" t="s">
        <v>100</v>
      </c>
    </row>
    <row r="7" customFormat="false" ht="25.5" hidden="false" customHeight="true" outlineLevel="0" collapsed="false">
      <c r="A7" s="24" t="s">
        <v>101</v>
      </c>
      <c r="B7" s="36" t="s">
        <v>78</v>
      </c>
      <c r="C7" s="36" t="s">
        <v>78</v>
      </c>
      <c r="D7" s="36" t="s">
        <v>78</v>
      </c>
      <c r="E7" s="36" t="s">
        <v>78</v>
      </c>
      <c r="F7" s="36" t="s">
        <v>102</v>
      </c>
    </row>
    <row r="8" customFormat="false" ht="25.5" hidden="false" customHeight="true" outlineLevel="0" collapsed="false"/>
    <row r="9" customFormat="false" ht="25.5" hidden="false" customHeight="true" outlineLevel="0" collapsed="false">
      <c r="A9" s="24" t="s">
        <v>103</v>
      </c>
      <c r="B9" s="37" t="n">
        <f aca="false">ZAKLAD+IF(B4="Prémiová syntetická koža – jednofarebná",MAT_KOZA_JEDNO,IF(B4="Prémiová syntetická koža – prešívaná",MAT_KOZA_PRESIV,IF(B4="Prémiová syntetická koža – tónovaná",MAT_KOZA_TONOV,IF(B4="Mikrosemiš – jednofarebný",MAT_MIKRO_JEDNO,IF(B4="Mikrosemiš – dvojfarebný",MAT_MIKRO_DVOJ,0)))))+IF(B5="Bez nášiviek",0,IF(B5="Len stred",NAS_STRED,IF(B5="Šofér + spolujazdec",NAS_BOKY,IF(B5="Šofér + spolujazdec + stred (BUNDLE)",NAS_BUNDLE,0))))+IF(B6="Áno chcem (v konfigurátore)",TAPACIR_BUNDLE,0)+IF(B7="Áno chcem",NAS_DVERE,0)</f>
        <v>200</v>
      </c>
      <c r="C9" s="37" t="n">
        <f aca="false">ZAKLAD+IF(C4="Prémiová syntetická koža – jednofarebná",MAT_KOZA_JEDNO,IF(C4="Prémiová syntetická koža – prešívaná",MAT_KOZA_PRESIV,IF(C4="Prémiová syntetická koža – tónovaná",MAT_KOZA_TONOV,IF(C4="Mikrosemiš – jednofarebný",MAT_MIKRO_JEDNO,IF(C4="Mikrosemiš – dvojfarebný",MAT_MIKRO_DVOJ,0)))))+IF(C5="Bez nášiviek",0,IF(C5="Len stred",NAS_STRED,IF(C5="Šofér + spolujazdec",NAS_BOKY,IF(C5="Šofér + spolujazdec + stred (BUNDLE)",NAS_BUNDLE,0))))+IF(C6="Áno chcem (v konfigurátore)",TAPACIR_BUNDLE,0)+IF(C7="Áno chcem",NAS_DVERE,0)</f>
        <v>270</v>
      </c>
      <c r="D9" s="37" t="n">
        <f aca="false">ZAKLAD+IF(D4="Prémiová syntetická koža – jednofarebná",MAT_KOZA_JEDNO,IF(D4="Prémiová syntetická koža – prešívaná",MAT_KOZA_PRESIV,IF(D4="Prémiová syntetická koža – tónovaná",MAT_KOZA_TONOV,IF(D4="Mikrosemiš – jednofarebný",MAT_MIKRO_JEDNO,IF(D4="Mikrosemiš – dvojfarebný",MAT_MIKRO_DVOJ,0)))))+IF(D5="Bez nášiviek",0,IF(D5="Len stred",NAS_STRED,IF(D5="Šofér + spolujazdec",NAS_BOKY,IF(D5="Šofér + spolujazdec + stred (BUNDLE)",NAS_BUNDLE,0))))+IF(D6="Áno chcem (v konfigurátore)",TAPACIR_BUNDLE,0)+IF(D7="Áno chcem",NAS_DVERE,0)</f>
        <v>290</v>
      </c>
      <c r="E9" s="37" t="n">
        <f aca="false">ZAKLAD+IF(E4="Prémiová syntetická koža – jednofarebná",MAT_KOZA_JEDNO,IF(E4="Prémiová syntetická koža – prešívaná",MAT_KOZA_PRESIV,IF(E4="Prémiová syntetická koža – tónovaná",MAT_KOZA_TONOV,IF(E4="Mikrosemiš – jednofarebný",MAT_MIKRO_JEDNO,IF(E4="Mikrosemiš – dvojfarebný",MAT_MIKRO_DVOJ,0)))))+IF(E5="Bez nášiviek",0,IF(E5="Len stred",NAS_STRED,IF(E5="Šofér + spolujazdec",NAS_BOKY,IF(E5="Šofér + spolujazdec + stred (BUNDLE)",NAS_BUNDLE,0))))+IF(E6="Áno chcem (v konfigurátore)",TAPACIR_BUNDLE,0)+IF(E7="Áno chcem",NAS_DVERE,0)</f>
        <v>430</v>
      </c>
      <c r="F9" s="37" t="n">
        <f aca="false">ZAKLAD+IF(F4="Prémiová syntetická koža – jednofarebná",MAT_KOZA_JEDNO,IF(F4="Prémiová syntetická koža – prešívaná",MAT_KOZA_PRESIV,IF(F4="Prémiová syntetická koža – tónovaná",MAT_KOZA_TONOV,IF(F4="Mikrosemiš – jednofarebný",MAT_MIKRO_JEDNO,IF(F4="Mikrosemiš – dvojfarebný",MAT_MIKRO_DVOJ,0)))))+IF(F5="Bez nášiviek",0,IF(F5="Len stred",NAS_STRED,IF(F5="Šofér + spolujazdec",NAS_BOKY,IF(F5="Šofér + spolujazdec + stred (BUNDLE)",NAS_BUNDLE,0))))+IF(F6="Áno chcem (v konfigurátore)",TAPACIR_BUNDLE,0)+IF(F7="Áno chcem",NAS_DVERE,0)</f>
        <v>490</v>
      </c>
    </row>
    <row r="10" customFormat="false" ht="25.5" hidden="false" customHeight="true" outlineLevel="0" collapsed="false">
      <c r="A10" s="38" t="s">
        <v>104</v>
      </c>
      <c r="B10" s="7" t="n">
        <f aca="false">ZAKLAD+IF(B4="Prémiová syntetická koža – jednofarebná",MAT_KOZA_JEDNO,IF(B4="Prémiová syntetická koža – prešívaná",MAT_KOZA_PRESIV,IF(B4="Prémiová syntetická koža – tónovaná",MAT_KOZA_TONOV,IF(B4="Mikrosemiš – jednofarebný",MAT_MIKRO_JEDNO,IF(B4="Mikrosemiš – dvojfarebný",MAT_MIKRO_DVOJ,0)))))+IF(B5="Bez nášiviek",0,IF(B5="Len stred",NAS_STRED_SAMO,IF(B5="Šofér + spolujazdec",NAS_BOKY_SAMO,IF(B5="Šofér + spolujazdec + stred (BUNDLE)",NAS_BOKY_SAMO+NAS_STRED_SAMO,0))))+IF(B6="Áno chcem (v konfigurátore)",TAPACIR_SAMO,0)+IF(B7="Áno chcem",NAS_DVERE,0)</f>
        <v>200</v>
      </c>
      <c r="C10" s="7" t="n">
        <f aca="false">ZAKLAD+IF(C4="Prémiová syntetická koža – jednofarebná",MAT_KOZA_JEDNO,IF(C4="Prémiová syntetická koža – prešívaná",MAT_KOZA_PRESIV,IF(C4="Prémiová syntetická koža – tónovaná",MAT_KOZA_TONOV,IF(C4="Mikrosemiš – jednofarebný",MAT_MIKRO_JEDNO,IF(C4="Mikrosemiš – dvojfarebný",MAT_MIKRO_DVOJ,0)))))+IF(C5="Bez nášiviek",0,IF(C5="Len stred",NAS_STRED_SAMO,IF(C5="Šofér + spolujazdec",NAS_BOKY_SAMO,IF(C5="Šofér + spolujazdec + stred (BUNDLE)",NAS_BOKY_SAMO+NAS_STRED_SAMO,0))))+IF(C6="Áno chcem (v konfigurátore)",TAPACIR_SAMO,0)+IF(C7="Áno chcem",NAS_DVERE,0)</f>
        <v>270</v>
      </c>
      <c r="D10" s="7" t="n">
        <f aca="false">ZAKLAD+IF(D4="Prémiová syntetická koža – jednofarebná",MAT_KOZA_JEDNO,IF(D4="Prémiová syntetická koža – prešívaná",MAT_KOZA_PRESIV,IF(D4="Prémiová syntetická koža – tónovaná",MAT_KOZA_TONOV,IF(D4="Mikrosemiš – jednofarebný",MAT_MIKRO_JEDNO,IF(D4="Mikrosemiš – dvojfarebný",MAT_MIKRO_DVOJ,0)))))+IF(D5="Bez nášiviek",0,IF(D5="Len stred",NAS_STRED_SAMO,IF(D5="Šofér + spolujazdec",NAS_BOKY_SAMO,IF(D5="Šofér + spolujazdec + stred (BUNDLE)",NAS_BOKY_SAMO+NAS_STRED_SAMO,0))))+IF(D6="Áno chcem (v konfigurátore)",TAPACIR_SAMO,0)+IF(D7="Áno chcem",NAS_DVERE,0)</f>
        <v>290</v>
      </c>
      <c r="E10" s="7" t="n">
        <f aca="false">ZAKLAD+IF(E4="Prémiová syntetická koža – jednofarebná",MAT_KOZA_JEDNO,IF(E4="Prémiová syntetická koža – prešívaná",MAT_KOZA_PRESIV,IF(E4="Prémiová syntetická koža – tónovaná",MAT_KOZA_TONOV,IF(E4="Mikrosemiš – jednofarebný",MAT_MIKRO_JEDNO,IF(E4="Mikrosemiš – dvojfarebný",MAT_MIKRO_DVOJ,0)))))+IF(E5="Bez nášiviek",0,IF(E5="Len stred",NAS_STRED_SAMO,IF(E5="Šofér + spolujazdec",NAS_BOKY_SAMO,IF(E5="Šofér + spolujazdec + stred (BUNDLE)",NAS_BOKY_SAMO+NAS_STRED_SAMO,0))))+IF(E6="Áno chcem (v konfigurátore)",TAPACIR_SAMO,0)+IF(E7="Áno chcem",NAS_DVERE,0)</f>
        <v>549</v>
      </c>
      <c r="F10" s="7" t="n">
        <f aca="false">ZAKLAD+IF(F4="Prémiová syntetická koža – jednofarebná",MAT_KOZA_JEDNO,IF(F4="Prémiová syntetická koža – prešívaná",MAT_KOZA_PRESIV,IF(F4="Prémiová syntetická koža – tónovaná",MAT_KOZA_TONOV,IF(F4="Mikrosemiš – jednofarebný",MAT_MIKRO_JEDNO,IF(F4="Mikrosemiš – dvojfarebný",MAT_MIKRO_DVOJ,0)))))+IF(F5="Bez nášiviek",0,IF(F5="Len stred",NAS_STRED_SAMO,IF(F5="Šofér + spolujazdec",NAS_BOKY_SAMO,IF(F5="Šofér + spolujazdec + stred (BUNDLE)",NAS_BOKY_SAMO+NAS_STRED_SAMO,0))))+IF(F6="Áno chcem (v konfigurátore)",TAPACIR_SAMO,0)+IF(F7="Áno chcem",NAS_DVERE,0)</f>
        <v>609</v>
      </c>
    </row>
    <row r="11" customFormat="false" ht="25.5" hidden="false" customHeight="true" outlineLevel="0" collapsed="false">
      <c r="A11" s="27" t="s">
        <v>105</v>
      </c>
      <c r="B11" s="34" t="n">
        <f aca="false">B10-B9</f>
        <v>0</v>
      </c>
      <c r="C11" s="34" t="n">
        <f aca="false">C10-C9</f>
        <v>0</v>
      </c>
      <c r="D11" s="34" t="n">
        <f aca="false">D10-D9</f>
        <v>0</v>
      </c>
      <c r="E11" s="34" t="n">
        <f aca="false">E10-E9</f>
        <v>119</v>
      </c>
      <c r="F11" s="34" t="n">
        <f aca="false">F10-F9</f>
        <v>119</v>
      </c>
    </row>
    <row r="12" customFormat="false" ht="25.5" hidden="false" customHeight="true" outlineLevel="0" collapsed="false">
      <c r="A12" s="27" t="s">
        <v>106</v>
      </c>
      <c r="B12" s="8" t="n">
        <f aca="false">IFERROR((B10-B9)/B10,0)</f>
        <v>0</v>
      </c>
      <c r="C12" s="8" t="n">
        <f aca="false">IFERROR((C10-C9)/C10,0)</f>
        <v>0</v>
      </c>
      <c r="D12" s="8" t="n">
        <f aca="false">IFERROR((D10-D9)/D10,0)</f>
        <v>0</v>
      </c>
      <c r="E12" s="8" t="n">
        <f aca="false">IFERROR((E10-E9)/E10,0)</f>
        <v>0.216757741347905</v>
      </c>
      <c r="F12" s="8" t="n">
        <f aca="false">IFERROR((F10-F9)/F10,0)</f>
        <v>0.195402298850575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2026-04-16T17:43:46Z</dcterms:created>
  <dc:creator>openpyxl</dc:creator>
  <dc:description/>
  <dc:language>en-US</dc:language>
  <cp:lastModifiedBy/>
  <dcterms:modified xsi:type="dcterms:W3CDTF">2026-04-16T17:43:47Z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