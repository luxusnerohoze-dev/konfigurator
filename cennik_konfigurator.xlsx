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\Desktop\claud\konfigurator V4\"/>
    </mc:Choice>
  </mc:AlternateContent>
  <xr:revisionPtr revIDLastSave="0" documentId="13_ncr:1_{7D5FA865-4B0E-462A-B08A-95ADDA050EE2}" xr6:coauthVersionLast="47" xr6:coauthVersionMax="47" xr10:uidLastSave="{00000000-0000-0000-0000-000000000000}"/>
  <bookViews>
    <workbookView xWindow="-29175" yWindow="2970" windowWidth="28800" windowHeight="15345" tabRatio="500" xr2:uid="{00000000-000D-0000-FFFF-FFFF00000000}"/>
  </bookViews>
  <sheets>
    <sheet name="Cenník" sheetId="1" r:id="rId1"/>
    <sheet name="Kalkulačka" sheetId="2" r:id="rId2"/>
    <sheet name="Scenáre zákazníkov" sheetId="3" r:id="rId3"/>
  </sheets>
  <definedNames>
    <definedName name="MAT_KOZA_JEDNO">Cenník!$B$10</definedName>
    <definedName name="MAT_KOZA_PRESIV">Cenník!$B$11</definedName>
    <definedName name="MAT_KOZA_TONOV">Cenník!$B$12</definedName>
    <definedName name="MAT_MIKRO_DVOJ">Cenník!$B$14</definedName>
    <definedName name="MAT_MIKRO_JEDNO">Cenník!$B$13</definedName>
    <definedName name="NAS_BOKY">Cenník!$B$24</definedName>
    <definedName name="NAS_BOKY_SAMO">Cenník!$C$24</definedName>
    <definedName name="NAS_BUNDLE">Cenník!$B$25</definedName>
    <definedName name="NAS_DVERE">Cenník!$B$41</definedName>
    <definedName name="NAS_STRED">Cenník!$B$23</definedName>
    <definedName name="NAS_STRED_SAMO">Cenník!$C$23</definedName>
    <definedName name="TAPACIR_BUNDLE">Cenník!$B$33</definedName>
    <definedName name="TAPACIR_SAMO">Cenník!$C$33</definedName>
    <definedName name="ZAKLAD">Cenník!$B$7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0" i="3" l="1"/>
  <c r="E10" i="3"/>
  <c r="D10" i="3"/>
  <c r="C10" i="3"/>
  <c r="B10" i="3"/>
  <c r="F9" i="3"/>
  <c r="E9" i="3"/>
  <c r="D9" i="3"/>
  <c r="C9" i="3"/>
  <c r="B9" i="3"/>
  <c r="C17" i="2"/>
  <c r="D12" i="2"/>
  <c r="C12" i="2"/>
  <c r="D10" i="2"/>
  <c r="C10" i="2"/>
  <c r="D8" i="2"/>
  <c r="C8" i="2"/>
  <c r="C6" i="2"/>
  <c r="C5" i="2"/>
  <c r="D33" i="1"/>
  <c r="D25" i="1"/>
  <c r="B12" i="3" l="1"/>
  <c r="C14" i="2"/>
  <c r="C18" i="2" s="1"/>
  <c r="C12" i="3"/>
  <c r="D12" i="3"/>
  <c r="E12" i="3"/>
  <c r="F12" i="3"/>
  <c r="B11" i="3"/>
  <c r="C11" i="3"/>
  <c r="D11" i="3"/>
  <c r="E11" i="3"/>
  <c r="C19" i="2"/>
  <c r="F11" i="3"/>
  <c r="D19" i="2" l="1"/>
</calcChain>
</file>

<file path=xl/sharedStrings.xml><?xml version="1.0" encoding="utf-8"?>
<sst xmlns="http://schemas.openxmlformats.org/spreadsheetml/2006/main" count="132" uniqueCount="107">
  <si>
    <t>KONFIGURÁTOR KAMIÓNOV — CENNÍK</t>
  </si>
  <si>
    <t>Modré = editovateľné ceny · Zelené = bundle cena (úspora) · LUXURY CAR DESIGN</t>
  </si>
  <si>
    <t>Položka</t>
  </si>
  <si>
    <t>Cena v konfigurátore (€)</t>
  </si>
  <si>
    <t>Samostatná cena (€)</t>
  </si>
  <si>
    <t>Úspora</t>
  </si>
  <si>
    <t>Poznámka</t>
  </si>
  <si>
    <t>BOD 1 — ZÁKLADNÁ CENA PRODUKTU</t>
  </si>
  <si>
    <t>Autokoberce (základ)</t>
  </si>
  <si>
    <t>Východisková cena produktu — platí pre akékoľvek vozidlo</t>
  </si>
  <si>
    <t>BOD 2 — MATERIÁL (len druh mení cenu, farba NIE)</t>
  </si>
  <si>
    <t>Prémiová syntetická koža – jednofarebná</t>
  </si>
  <si>
    <t>Základ — bez príplatku</t>
  </si>
  <si>
    <t>Prémiová syntetická koža – prešívaná</t>
  </si>
  <si>
    <t>Príplatok — prešívaný povrch</t>
  </si>
  <si>
    <t>Prémiová syntetická koža – tónovaná</t>
  </si>
  <si>
    <t>Príplatok — tónovaný vzhľad</t>
  </si>
  <si>
    <t>Mikrosemiš – jednofarebný</t>
  </si>
  <si>
    <t>Príplatok — jemný povrch</t>
  </si>
  <si>
    <t>Mikrosemiš – dvojfarebný</t>
  </si>
  <si>
    <t>Príplatok — dvojfarebný efekt</t>
  </si>
  <si>
    <t>Farba materiálu</t>
  </si>
  <si>
    <t>Všetky farby v cene — NEMENÍ cenu</t>
  </si>
  <si>
    <t>BOD 3 — LEMOVANIE (NEMENÍ cenu)</t>
  </si>
  <si>
    <t>Všetky druhy lemovania</t>
  </si>
  <si>
    <t>V cene základu — zákazník vyberá bez príplatku</t>
  </si>
  <si>
    <t>BOD 4 — NÁŠIVKY (bod 4a mení cenu, 4b/4c NIE)</t>
  </si>
  <si>
    <t>4a — UMIESTNENIE NÁŠIVIEK</t>
  </si>
  <si>
    <t>Bez nášiviek</t>
  </si>
  <si>
    <t>NEMENÍ cenu</t>
  </si>
  <si>
    <t>Len stred (samostatne)</t>
  </si>
  <si>
    <t>Cena A — nášivka iba na stredný koberec</t>
  </si>
  <si>
    <t>Šofér + spolujazdec (samostatne)</t>
  </si>
  <si>
    <t>Cena B — nášivky iba na dva predné koberce</t>
  </si>
  <si>
    <t>Šofér + spolujazdec + stred (BUNDLE)</t>
  </si>
  <si>
    <t>Cena C — kompletná sada za zvýhodnenú cenu</t>
  </si>
  <si>
    <t>4b &amp; 4c — DRUH NÁŠIVKY &amp; FARBA NITE (NEMENÍ cenu)</t>
  </si>
  <si>
    <t>Výber druhu nášivky a farby nite</t>
  </si>
  <si>
    <t>Všetky druhy nášiviek a farieb v cene</t>
  </si>
  <si>
    <t>BOD 5 — TAPACÍR DVERÍ</t>
  </si>
  <si>
    <t>5a — ÁNO / NIE CHCEM TAPACÍR</t>
  </si>
  <si>
    <t>Nie nechcem tapacír dverí</t>
  </si>
  <si>
    <t>Bez tapacíra — NEMENÍ cenu</t>
  </si>
  <si>
    <t>Áno chcem (v KONFIGURÁTORE — bundle)</t>
  </si>
  <si>
    <t>Bežne 179 €, v konfigurátore len 100 € (úspora 79 €)</t>
  </si>
  <si>
    <t>5b — MATERIÁL &amp; FARBA TAPACÍRA (NEMENÍ cenu)</t>
  </si>
  <si>
    <t>Materiál a farba tapacíra</t>
  </si>
  <si>
    <t>V cene tapacíra — NEMENÍ cenu</t>
  </si>
  <si>
    <t>5c — LEMOVANIE TAPACÍRA (NEMENÍ cenu)</t>
  </si>
  <si>
    <t>Lemovanie tapacíra</t>
  </si>
  <si>
    <t>5d — NÁŠIVKA NA DVERÁCH (áno = príplatok)</t>
  </si>
  <si>
    <t>Nie nechcem nášivku na dverách</t>
  </si>
  <si>
    <t>Áno chcem nášivku na dverách</t>
  </si>
  <si>
    <t>Príplatok za nášivku na tapacíri (vzorová cena — uprav podľa potreby)</t>
  </si>
  <si>
    <t>LEGENDA FARIEB</t>
  </si>
  <si>
    <t>Modrá hodnota</t>
  </si>
  <si>
    <t>editovateľná cena (zadáš svoju hodnotu)</t>
  </si>
  <si>
    <t>Zelené pozadie</t>
  </si>
  <si>
    <t>bundle cena v konfigurátore (výhodná oproti samostatnej cene)</t>
  </si>
  <si>
    <t>Stĺpec C (Samostatná cena)</t>
  </si>
  <si>
    <t>bežná cena ak by si kúpil položku mimo konfigurátora (motivuje zákazníka)</t>
  </si>
  <si>
    <t>ŽIVÁ KALKULAČKA — simulácia výberu zákazníka</t>
  </si>
  <si>
    <t>Vyber možnosti v stĺpci B pomocou rozbalovacieho menu. Cena sa automaticky prepočíta.</t>
  </si>
  <si>
    <t>Krok konfigurátora</t>
  </si>
  <si>
    <t>Výber zákazníka</t>
  </si>
  <si>
    <t>Cena (€)</t>
  </si>
  <si>
    <t>BOD 1 — Základ</t>
  </si>
  <si>
    <t>Autokoberce (základná cena)</t>
  </si>
  <si>
    <t>Pevná základná cena</t>
  </si>
  <si>
    <t>BOD 2 — Materiál</t>
  </si>
  <si>
    <t>Vyber druh materiálu (farba NEMENÍ cenu)</t>
  </si>
  <si>
    <t>BOD 3 — Lemovanie</t>
  </si>
  <si>
    <t>Ľubovoľné</t>
  </si>
  <si>
    <t>Lemovanie NEMENÍ cenu</t>
  </si>
  <si>
    <t>BOD 4a — Nášivky (umiestnenie)</t>
  </si>
  <si>
    <t>BOD 4b/c — Druh nášivky a nite</t>
  </si>
  <si>
    <t>Druh ani farba NEMENÍ cenu</t>
  </si>
  <si>
    <t>BOD 5a — Tapacír dverí</t>
  </si>
  <si>
    <t>Nie nechcem</t>
  </si>
  <si>
    <t>BOD 5b/c — Materiál a lemovanie tapacíra</t>
  </si>
  <si>
    <t>BOD 5d — Nášivka na dverách</t>
  </si>
  <si>
    <t>CENA SPOLU</t>
  </si>
  <si>
    <t>Výsledná cena pre zákazníka</t>
  </si>
  <si>
    <t>SÚHRN — KEBY BOL ZÁKAZNÍK VYBRAL VŠETKO SAMOSTATNE</t>
  </si>
  <si>
    <t>Hypotetická cena mimo konfigurátora</t>
  </si>
  <si>
    <t>Súčet samostatných cien</t>
  </si>
  <si>
    <t>TVOJA CENA V KONFIGURÁTORE</t>
  </si>
  <si>
    <t>ÚSPORA</t>
  </si>
  <si>
    <t>MODELOVÉ SCÉNÁRE — porovnanie cien pre marketing</t>
  </si>
  <si>
    <t>Položka / scenár</t>
  </si>
  <si>
    <t>Bez prílohy</t>
  </si>
  <si>
    <t>Minimal</t>
  </si>
  <si>
    <t>Štandard</t>
  </si>
  <si>
    <t>Stredná</t>
  </si>
  <si>
    <t>PRÉMIUM (max)</t>
  </si>
  <si>
    <t>Materiál</t>
  </si>
  <si>
    <t>Nášivky (4a)</t>
  </si>
  <si>
    <t>Len stred</t>
  </si>
  <si>
    <t>Šofér + spolujazdec</t>
  </si>
  <si>
    <t>Tapacír dverí (5a)</t>
  </si>
  <si>
    <t>Áno chcem (v konfigurátore)</t>
  </si>
  <si>
    <t>Nášivka na dverách (5d)</t>
  </si>
  <si>
    <t>Áno chcem</t>
  </si>
  <si>
    <t>Cena v konfigurátore</t>
  </si>
  <si>
    <t>Samostatné ceny (mimo konfigurátora)</t>
  </si>
  <si>
    <t>ÚSPORA (€)</t>
  </si>
  <si>
    <t>ÚSPORA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</si>
</sst>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&quot; €&quot;;[Red]\-#,##0&quot; €&quot;;\—"/>
    <numFmt numFmtId="165" formatCode="0%;\-0%;\—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i/>
      <sz val="10"/>
      <color rgb="FF2E1810"/>
      <name val="Calibri"/>
      <charset val="1"/>
    </font>
    <font>
      <b/>
      <sz val="11"/>
      <color rgb="FF2E1810"/>
      <name val="Calibri"/>
      <charset val="1"/>
    </font>
    <font>
      <b/>
      <sz val="13"/>
      <color rgb="FFFFFFFF"/>
      <name val="Calibri"/>
      <charset val="1"/>
    </font>
    <font>
      <sz val="11"/>
      <color rgb="FF2E1810"/>
      <name val="Calibri"/>
      <charset val="1"/>
    </font>
    <font>
      <b/>
      <sz val="11"/>
      <color rgb="FF0000FF"/>
      <name val="Calibri"/>
      <charset val="1"/>
    </font>
    <font>
      <sz val="10"/>
      <color rgb="FF9E9E9E"/>
      <name val="Calibri"/>
      <charset val="1"/>
    </font>
    <font>
      <b/>
      <sz val="11"/>
      <color rgb="FF4CAF50"/>
      <name val="Calibri"/>
      <charset val="1"/>
    </font>
    <font>
      <i/>
      <sz val="10"/>
      <color rgb="FF9E9E9E"/>
      <name val="Calibri"/>
      <charset val="1"/>
    </font>
    <font>
      <b/>
      <i/>
      <sz val="11"/>
      <color rgb="FF2E1810"/>
      <name val="Calibri"/>
      <charset val="1"/>
    </font>
    <font>
      <b/>
      <sz val="11"/>
      <color rgb="FFFFFFFF"/>
      <name val="Calibri"/>
      <charset val="1"/>
    </font>
    <font>
      <sz val="11"/>
      <color rgb="FFFFFFFF"/>
      <name val="Calibri"/>
      <charset val="1"/>
    </font>
    <font>
      <sz val="11"/>
      <color rgb="FF0000FF"/>
      <name val="Calibri"/>
      <charset val="1"/>
    </font>
    <font>
      <b/>
      <sz val="14"/>
      <color rgb="FFFFFFFF"/>
      <name val="Calibri"/>
      <charset val="1"/>
    </font>
    <font>
      <b/>
      <sz val="16"/>
      <color rgb="FF2E1810"/>
      <name val="Calibri"/>
      <charset val="1"/>
    </font>
    <font>
      <b/>
      <sz val="12"/>
      <color rgb="FF4CAF50"/>
      <name val="Calibri"/>
      <charset val="1"/>
    </font>
    <font>
      <b/>
      <sz val="12"/>
      <color rgb="FF2E1810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2E1810"/>
        <bgColor rgb="FF333333"/>
      </patternFill>
    </fill>
    <fill>
      <patternFill patternType="solid">
        <fgColor rgb="FFFFF8DC"/>
        <bgColor rgb="FFFFFFE0"/>
      </patternFill>
    </fill>
    <fill>
      <patternFill patternType="solid">
        <fgColor rgb="FFC5A44E"/>
        <bgColor rgb="FF9E9E9E"/>
      </patternFill>
    </fill>
    <fill>
      <patternFill patternType="solid">
        <fgColor rgb="FFE8F5E9"/>
        <bgColor rgb="FFFFF8DC"/>
      </patternFill>
    </fill>
    <fill>
      <patternFill patternType="solid">
        <fgColor rgb="FFFFFFE0"/>
        <bgColor rgb="FFFFF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4" fillId="2" borderId="1" xfId="0" applyFont="1" applyFill="1" applyBorder="1" applyAlignment="1">
      <alignment horizontal="center" vertical="center" wrapText="1"/>
    </xf>
    <xf numFmtId="0" fontId="5" fillId="0" borderId="0" xfId="0" applyFont="1"/>
    <xf numFmtId="0" fontId="11" fillId="2" borderId="0" xfId="0" applyFont="1" applyFill="1" applyAlignment="1">
      <alignment horizontal="center" vertical="center" wrapText="1"/>
    </xf>
    <xf numFmtId="0" fontId="10" fillId="3" borderId="0" xfId="0" applyFont="1" applyFill="1" applyAlignment="1">
      <alignment horizontal="left" vertical="center" wrapText="1" indent="1"/>
    </xf>
    <xf numFmtId="0" fontId="4" fillId="4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 indent="1"/>
    </xf>
    <xf numFmtId="164" fontId="6" fillId="0" borderId="1" xfId="0" applyNumberFormat="1" applyFont="1" applyBorder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 indent="1"/>
    </xf>
    <xf numFmtId="0" fontId="5" fillId="5" borderId="1" xfId="0" applyFont="1" applyFill="1" applyBorder="1" applyAlignment="1">
      <alignment horizontal="left" vertical="center" wrapText="1" indent="1"/>
    </xf>
    <xf numFmtId="164" fontId="6" fillId="5" borderId="1" xfId="0" applyNumberFormat="1" applyFont="1" applyFill="1" applyBorder="1" applyAlignment="1">
      <alignment horizontal="right" vertical="center"/>
    </xf>
    <xf numFmtId="164" fontId="7" fillId="5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left" vertical="center" wrapText="1" indent="1"/>
    </xf>
    <xf numFmtId="0" fontId="6" fillId="0" borderId="0" xfId="0" applyFont="1"/>
    <xf numFmtId="0" fontId="0" fillId="5" borderId="0" xfId="0" applyFill="1"/>
    <xf numFmtId="0" fontId="7" fillId="0" borderId="0" xfId="0" applyFont="1"/>
    <xf numFmtId="0" fontId="11" fillId="4" borderId="1" xfId="0" applyFont="1" applyFill="1" applyBorder="1" applyAlignment="1">
      <alignment horizontal="left" vertical="center" wrapText="1" indent="1"/>
    </xf>
    <xf numFmtId="0" fontId="12" fillId="4" borderId="1" xfId="0" applyFont="1" applyFill="1" applyBorder="1" applyAlignment="1">
      <alignment horizontal="center" vertical="center" wrapText="1"/>
    </xf>
    <xf numFmtId="164" fontId="11" fillId="4" borderId="1" xfId="0" applyNumberFormat="1" applyFont="1" applyFill="1" applyBorder="1" applyAlignment="1">
      <alignment horizontal="right" vertical="center"/>
    </xf>
    <xf numFmtId="0" fontId="3" fillId="0" borderId="1" xfId="0" applyFont="1" applyBorder="1" applyAlignment="1">
      <alignment horizontal="left" vertical="center" wrapText="1" indent="1"/>
    </xf>
    <xf numFmtId="0" fontId="13" fillId="6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vertical="center"/>
    </xf>
    <xf numFmtId="0" fontId="8" fillId="0" borderId="1" xfId="0" applyFont="1" applyBorder="1" applyAlignment="1">
      <alignment horizontal="left" vertical="center" wrapText="1" indent="1"/>
    </xf>
    <xf numFmtId="164" fontId="15" fillId="4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0" fillId="0" borderId="1" xfId="0" applyBorder="1"/>
    <xf numFmtId="164" fontId="0" fillId="0" borderId="1" xfId="0" applyNumberFormat="1" applyBorder="1" applyAlignment="1">
      <alignment horizontal="right" vertical="center"/>
    </xf>
    <xf numFmtId="0" fontId="16" fillId="0" borderId="1" xfId="0" applyFont="1" applyBorder="1" applyAlignment="1">
      <alignment horizontal="left" vertical="center" wrapText="1" indent="1"/>
    </xf>
    <xf numFmtId="164" fontId="8" fillId="0" borderId="1" xfId="0" applyNumberFormat="1" applyFont="1" applyBorder="1" applyAlignment="1">
      <alignment horizontal="right" vertical="center"/>
    </xf>
    <xf numFmtId="0" fontId="8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164" fontId="17" fillId="0" borderId="1" xfId="0" applyNumberFormat="1" applyFont="1" applyBorder="1" applyAlignment="1">
      <alignment horizontal="right" vertical="center"/>
    </xf>
    <xf numFmtId="0" fontId="0" fillId="0" borderId="1" xfId="0" applyBorder="1" applyAlignment="1">
      <alignment horizontal="left" vertical="center" wrapText="1" indent="1"/>
    </xf>
  </cellXfs>
  <cellStyles count="1">
    <cellStyle name="Normálna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E0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8D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5A44E"/>
      <rgbColor rgb="FFFF6600"/>
      <rgbColor rgb="FF666699"/>
      <rgbColor rgb="FF9E9E9E"/>
      <rgbColor rgb="FF003366"/>
      <rgbColor rgb="FF4CAF50"/>
      <rgbColor rgb="FF003300"/>
      <rgbColor rgb="FF2E181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6"/>
  <sheetViews>
    <sheetView tabSelected="1" zoomScaleNormal="100" workbookViewId="0">
      <pane ySplit="4" topLeftCell="A8" activePane="bottomLeft" state="frozen"/>
      <selection pane="bottomLeft" activeCell="B51" sqref="B51"/>
    </sheetView>
  </sheetViews>
  <sheetFormatPr defaultColWidth="8.7109375" defaultRowHeight="15" x14ac:dyDescent="0.25"/>
  <cols>
    <col min="1" max="1" width="45" customWidth="1"/>
    <col min="2" max="3" width="22" customWidth="1"/>
    <col min="4" max="4" width="14" customWidth="1"/>
    <col min="5" max="5" width="44" customWidth="1"/>
  </cols>
  <sheetData>
    <row r="1" spans="1:5" ht="36" customHeight="1" x14ac:dyDescent="0.25">
      <c r="A1" s="7" t="s">
        <v>0</v>
      </c>
      <c r="B1" s="7"/>
      <c r="C1" s="7"/>
      <c r="D1" s="7"/>
      <c r="E1" s="7"/>
    </row>
    <row r="2" spans="1:5" ht="21.75" customHeight="1" x14ac:dyDescent="0.25">
      <c r="A2" s="6" t="s">
        <v>1</v>
      </c>
      <c r="B2" s="6"/>
      <c r="C2" s="6"/>
      <c r="D2" s="6"/>
      <c r="E2" s="6"/>
    </row>
    <row r="4" spans="1:5" ht="31.5" customHeight="1" x14ac:dyDescent="0.25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</row>
    <row r="5" spans="1:5" ht="21.75" customHeight="1" x14ac:dyDescent="0.25"/>
    <row r="6" spans="1:5" ht="25.5" customHeight="1" x14ac:dyDescent="0.25">
      <c r="A6" s="5" t="s">
        <v>7</v>
      </c>
      <c r="B6" s="5"/>
      <c r="C6" s="5"/>
      <c r="D6" s="5"/>
      <c r="E6" s="5"/>
    </row>
    <row r="7" spans="1:5" ht="21.75" customHeight="1" x14ac:dyDescent="0.25">
      <c r="A7" s="9" t="s">
        <v>8</v>
      </c>
      <c r="B7" s="10">
        <v>199</v>
      </c>
      <c r="C7" s="11"/>
      <c r="D7" s="12"/>
      <c r="E7" s="13" t="s">
        <v>9</v>
      </c>
    </row>
    <row r="8" spans="1:5" ht="21.75" customHeight="1" x14ac:dyDescent="0.25"/>
    <row r="9" spans="1:5" ht="25.5" customHeight="1" x14ac:dyDescent="0.25">
      <c r="A9" s="5" t="s">
        <v>10</v>
      </c>
      <c r="B9" s="5"/>
      <c r="C9" s="5"/>
      <c r="D9" s="5"/>
      <c r="E9" s="5"/>
    </row>
    <row r="10" spans="1:5" ht="21.75" customHeight="1" x14ac:dyDescent="0.25">
      <c r="A10" s="9" t="s">
        <v>11</v>
      </c>
      <c r="B10" s="10">
        <v>0</v>
      </c>
      <c r="C10" s="11"/>
      <c r="D10" s="12"/>
      <c r="E10" s="13" t="s">
        <v>12</v>
      </c>
    </row>
    <row r="11" spans="1:5" ht="21.75" customHeight="1" x14ac:dyDescent="0.25">
      <c r="A11" s="9" t="s">
        <v>13</v>
      </c>
      <c r="B11" s="10">
        <v>10</v>
      </c>
      <c r="C11" s="11"/>
      <c r="D11" s="12"/>
      <c r="E11" s="13" t="s">
        <v>14</v>
      </c>
    </row>
    <row r="12" spans="1:5" ht="21.75" customHeight="1" x14ac:dyDescent="0.25">
      <c r="A12" s="9" t="s">
        <v>15</v>
      </c>
      <c r="B12" s="10">
        <v>40</v>
      </c>
      <c r="C12" s="11"/>
      <c r="D12" s="12"/>
      <c r="E12" s="13" t="s">
        <v>16</v>
      </c>
    </row>
    <row r="13" spans="1:5" ht="21.75" customHeight="1" x14ac:dyDescent="0.25">
      <c r="A13" s="9" t="s">
        <v>17</v>
      </c>
      <c r="B13" s="10">
        <v>40</v>
      </c>
      <c r="C13" s="11"/>
      <c r="D13" s="12"/>
      <c r="E13" s="13" t="s">
        <v>18</v>
      </c>
    </row>
    <row r="14" spans="1:5" ht="21.75" customHeight="1" x14ac:dyDescent="0.25">
      <c r="A14" s="9" t="s">
        <v>19</v>
      </c>
      <c r="B14" s="10">
        <v>50</v>
      </c>
      <c r="C14" s="11"/>
      <c r="D14" s="12"/>
      <c r="E14" s="13" t="s">
        <v>20</v>
      </c>
    </row>
    <row r="15" spans="1:5" ht="21.75" customHeight="1" x14ac:dyDescent="0.25">
      <c r="A15" s="9" t="s">
        <v>21</v>
      </c>
      <c r="B15" s="10">
        <v>0</v>
      </c>
      <c r="C15" s="11"/>
      <c r="D15" s="12"/>
      <c r="E15" s="13" t="s">
        <v>22</v>
      </c>
    </row>
    <row r="16" spans="1:5" ht="21.75" customHeight="1" x14ac:dyDescent="0.25"/>
    <row r="17" spans="1:5" ht="25.5" customHeight="1" x14ac:dyDescent="0.25">
      <c r="A17" s="5" t="s">
        <v>23</v>
      </c>
      <c r="B17" s="5"/>
      <c r="C17" s="5"/>
      <c r="D17" s="5"/>
      <c r="E17" s="5"/>
    </row>
    <row r="18" spans="1:5" ht="21.75" customHeight="1" x14ac:dyDescent="0.25">
      <c r="A18" s="9" t="s">
        <v>24</v>
      </c>
      <c r="B18" s="10">
        <v>0</v>
      </c>
      <c r="C18" s="11"/>
      <c r="D18" s="12"/>
      <c r="E18" s="13" t="s">
        <v>25</v>
      </c>
    </row>
    <row r="19" spans="1:5" ht="21.75" customHeight="1" x14ac:dyDescent="0.25"/>
    <row r="20" spans="1:5" ht="25.5" customHeight="1" x14ac:dyDescent="0.25">
      <c r="A20" s="5" t="s">
        <v>26</v>
      </c>
      <c r="B20" s="5"/>
      <c r="C20" s="5"/>
      <c r="D20" s="5"/>
      <c r="E20" s="5"/>
    </row>
    <row r="21" spans="1:5" ht="21.75" customHeight="1" x14ac:dyDescent="0.25">
      <c r="A21" s="4" t="s">
        <v>27</v>
      </c>
      <c r="B21" s="4"/>
      <c r="C21" s="4"/>
      <c r="D21" s="4"/>
      <c r="E21" s="4"/>
    </row>
    <row r="22" spans="1:5" ht="21.75" customHeight="1" x14ac:dyDescent="0.25">
      <c r="A22" s="9" t="s">
        <v>28</v>
      </c>
      <c r="B22" s="10">
        <v>0</v>
      </c>
      <c r="C22" s="11"/>
      <c r="D22" s="12"/>
      <c r="E22" s="13" t="s">
        <v>29</v>
      </c>
    </row>
    <row r="23" spans="1:5" ht="21.75" customHeight="1" x14ac:dyDescent="0.25">
      <c r="A23" s="9" t="s">
        <v>30</v>
      </c>
      <c r="B23" s="10">
        <v>59</v>
      </c>
      <c r="C23" s="11">
        <v>70</v>
      </c>
      <c r="D23" s="12"/>
      <c r="E23" s="13" t="s">
        <v>31</v>
      </c>
    </row>
    <row r="24" spans="1:5" ht="21.75" customHeight="1" x14ac:dyDescent="0.25">
      <c r="A24" s="9" t="s">
        <v>32</v>
      </c>
      <c r="B24" s="10">
        <v>59</v>
      </c>
      <c r="C24" s="11">
        <v>70</v>
      </c>
      <c r="D24" s="12"/>
      <c r="E24" s="13" t="s">
        <v>33</v>
      </c>
    </row>
    <row r="25" spans="1:5" ht="21.75" customHeight="1" x14ac:dyDescent="0.25">
      <c r="A25" s="14" t="s">
        <v>34</v>
      </c>
      <c r="B25" s="15">
        <v>95</v>
      </c>
      <c r="C25" s="16">
        <v>140</v>
      </c>
      <c r="D25" s="17">
        <f>IF(AND(B25&gt;0,C25&gt;0),1-B25/C25,0)</f>
        <v>0.3214285714285714</v>
      </c>
      <c r="E25" s="18" t="s">
        <v>35</v>
      </c>
    </row>
    <row r="26" spans="1:5" ht="21.75" customHeight="1" x14ac:dyDescent="0.25"/>
    <row r="27" spans="1:5" ht="21.75" customHeight="1" x14ac:dyDescent="0.25">
      <c r="A27" s="4" t="s">
        <v>36</v>
      </c>
      <c r="B27" s="4"/>
      <c r="C27" s="4"/>
      <c r="D27" s="4"/>
      <c r="E27" s="4"/>
    </row>
    <row r="28" spans="1:5" ht="21.75" customHeight="1" x14ac:dyDescent="0.25">
      <c r="A28" s="9" t="s">
        <v>37</v>
      </c>
      <c r="B28" s="10">
        <v>0</v>
      </c>
      <c r="C28" s="11"/>
      <c r="D28" s="12"/>
      <c r="E28" s="13" t="s">
        <v>38</v>
      </c>
    </row>
    <row r="29" spans="1:5" ht="21.75" customHeight="1" x14ac:dyDescent="0.25"/>
    <row r="30" spans="1:5" ht="25.5" customHeight="1" x14ac:dyDescent="0.25">
      <c r="A30" s="5" t="s">
        <v>39</v>
      </c>
      <c r="B30" s="5"/>
      <c r="C30" s="5"/>
      <c r="D30" s="5"/>
      <c r="E30" s="5"/>
    </row>
    <row r="31" spans="1:5" ht="21.75" customHeight="1" x14ac:dyDescent="0.25">
      <c r="A31" s="4" t="s">
        <v>40</v>
      </c>
      <c r="B31" s="4"/>
      <c r="C31" s="4"/>
      <c r="D31" s="4"/>
      <c r="E31" s="4"/>
    </row>
    <row r="32" spans="1:5" ht="21.75" customHeight="1" x14ac:dyDescent="0.25">
      <c r="A32" s="9" t="s">
        <v>41</v>
      </c>
      <c r="B32" s="10">
        <v>0</v>
      </c>
      <c r="C32" s="11"/>
      <c r="D32" s="12"/>
      <c r="E32" s="13" t="s">
        <v>42</v>
      </c>
    </row>
    <row r="33" spans="1:5" ht="21.75" customHeight="1" x14ac:dyDescent="0.25">
      <c r="A33" s="14" t="s">
        <v>43</v>
      </c>
      <c r="B33" s="15">
        <v>119</v>
      </c>
      <c r="C33" s="16">
        <v>199</v>
      </c>
      <c r="D33" s="17">
        <f>IF(AND(B33&gt;0,C33&gt;0),1-B33/C33,0)</f>
        <v>0.40201005025125625</v>
      </c>
      <c r="E33" s="18" t="s">
        <v>44</v>
      </c>
    </row>
    <row r="34" spans="1:5" ht="21.75" customHeight="1" x14ac:dyDescent="0.25"/>
    <row r="35" spans="1:5" ht="21.75" customHeight="1" x14ac:dyDescent="0.25">
      <c r="A35" s="4" t="s">
        <v>45</v>
      </c>
      <c r="B35" s="4"/>
      <c r="C35" s="4"/>
      <c r="D35" s="4"/>
      <c r="E35" s="4"/>
    </row>
    <row r="36" spans="1:5" ht="21.75" customHeight="1" x14ac:dyDescent="0.25">
      <c r="A36" s="9" t="s">
        <v>46</v>
      </c>
      <c r="B36" s="10">
        <v>0</v>
      </c>
      <c r="C36" s="11"/>
      <c r="D36" s="12"/>
      <c r="E36" s="13" t="s">
        <v>47</v>
      </c>
    </row>
    <row r="37" spans="1:5" ht="21.75" customHeight="1" x14ac:dyDescent="0.25">
      <c r="A37" s="4" t="s">
        <v>48</v>
      </c>
      <c r="B37" s="4"/>
      <c r="C37" s="4"/>
      <c r="D37" s="4"/>
      <c r="E37" s="4"/>
    </row>
    <row r="38" spans="1:5" ht="21.75" customHeight="1" x14ac:dyDescent="0.25">
      <c r="A38" s="9" t="s">
        <v>49</v>
      </c>
      <c r="B38" s="10">
        <v>0</v>
      </c>
      <c r="C38" s="11"/>
      <c r="D38" s="12"/>
      <c r="E38" s="13" t="s">
        <v>47</v>
      </c>
    </row>
    <row r="39" spans="1:5" ht="21.75" customHeight="1" x14ac:dyDescent="0.25">
      <c r="A39" s="4" t="s">
        <v>50</v>
      </c>
      <c r="B39" s="4"/>
      <c r="C39" s="4"/>
      <c r="D39" s="4"/>
      <c r="E39" s="4"/>
    </row>
    <row r="40" spans="1:5" ht="21.75" customHeight="1" x14ac:dyDescent="0.25">
      <c r="A40" s="9" t="s">
        <v>51</v>
      </c>
      <c r="B40" s="10">
        <v>0</v>
      </c>
      <c r="C40" s="11"/>
      <c r="D40" s="12"/>
      <c r="E40" s="13" t="s">
        <v>29</v>
      </c>
    </row>
    <row r="41" spans="1:5" ht="21.75" customHeight="1" x14ac:dyDescent="0.25">
      <c r="A41" s="9" t="s">
        <v>52</v>
      </c>
      <c r="B41" s="10">
        <v>49</v>
      </c>
      <c r="C41" s="11">
        <v>89</v>
      </c>
      <c r="D41" s="12"/>
      <c r="E41" s="13" t="s">
        <v>53</v>
      </c>
    </row>
    <row r="42" spans="1:5" ht="21.75" customHeight="1" x14ac:dyDescent="0.25"/>
    <row r="43" spans="1:5" ht="21.75" customHeight="1" x14ac:dyDescent="0.25">
      <c r="A43" s="3" t="s">
        <v>54</v>
      </c>
      <c r="B43" s="3"/>
      <c r="C43" s="3"/>
      <c r="D43" s="3"/>
      <c r="E43" s="3"/>
    </row>
    <row r="44" spans="1:5" ht="21.75" customHeight="1" x14ac:dyDescent="0.25">
      <c r="A44" s="19" t="s">
        <v>55</v>
      </c>
      <c r="B44" s="2" t="s">
        <v>56</v>
      </c>
      <c r="C44" s="2"/>
      <c r="D44" s="2"/>
      <c r="E44" s="2"/>
    </row>
    <row r="45" spans="1:5" ht="21.75" customHeight="1" x14ac:dyDescent="0.25">
      <c r="A45" s="20" t="s">
        <v>57</v>
      </c>
      <c r="B45" s="2" t="s">
        <v>58</v>
      </c>
      <c r="C45" s="2"/>
      <c r="D45" s="2"/>
      <c r="E45" s="2"/>
    </row>
    <row r="46" spans="1:5" ht="21.75" customHeight="1" x14ac:dyDescent="0.25">
      <c r="A46" s="21" t="s">
        <v>59</v>
      </c>
      <c r="B46" s="2" t="s">
        <v>60</v>
      </c>
      <c r="C46" s="2"/>
      <c r="D46" s="2"/>
      <c r="E46" s="2"/>
    </row>
  </sheetData>
  <mergeCells count="17">
    <mergeCell ref="B45:E45"/>
    <mergeCell ref="B46:E46"/>
    <mergeCell ref="A35:E35"/>
    <mergeCell ref="A37:E37"/>
    <mergeCell ref="A39:E39"/>
    <mergeCell ref="A43:E43"/>
    <mergeCell ref="B44:E44"/>
    <mergeCell ref="A20:E20"/>
    <mergeCell ref="A21:E21"/>
    <mergeCell ref="A27:E27"/>
    <mergeCell ref="A30:E30"/>
    <mergeCell ref="A31:E31"/>
    <mergeCell ref="A1:E1"/>
    <mergeCell ref="A2:E2"/>
    <mergeCell ref="A6:E6"/>
    <mergeCell ref="A9:E9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35" customWidth="1"/>
    <col min="2" max="2" width="42" customWidth="1"/>
    <col min="3" max="3" width="18" customWidth="1"/>
    <col min="4" max="4" width="45" customWidth="1"/>
  </cols>
  <sheetData>
    <row r="1" spans="1:4" ht="36" customHeight="1" x14ac:dyDescent="0.25">
      <c r="A1" s="7" t="s">
        <v>61</v>
      </c>
      <c r="B1" s="7"/>
      <c r="C1" s="7"/>
      <c r="D1" s="7"/>
    </row>
    <row r="2" spans="1:4" ht="21.75" customHeight="1" x14ac:dyDescent="0.25">
      <c r="A2" s="6" t="s">
        <v>62</v>
      </c>
      <c r="B2" s="6"/>
      <c r="C2" s="6"/>
      <c r="D2" s="6"/>
    </row>
    <row r="4" spans="1:4" ht="27.75" customHeight="1" x14ac:dyDescent="0.25">
      <c r="A4" s="8" t="s">
        <v>63</v>
      </c>
      <c r="B4" s="8" t="s">
        <v>64</v>
      </c>
      <c r="C4" s="8" t="s">
        <v>65</v>
      </c>
      <c r="D4" s="8" t="s">
        <v>6</v>
      </c>
    </row>
    <row r="5" spans="1:4" x14ac:dyDescent="0.25">
      <c r="A5" s="22" t="s">
        <v>66</v>
      </c>
      <c r="B5" s="23" t="s">
        <v>67</v>
      </c>
      <c r="C5" s="24">
        <f>ZAKLAD</f>
        <v>199</v>
      </c>
      <c r="D5" s="23" t="s">
        <v>68</v>
      </c>
    </row>
    <row r="6" spans="1:4" x14ac:dyDescent="0.25">
      <c r="A6" s="25" t="s">
        <v>69</v>
      </c>
      <c r="B6" s="26" t="s">
        <v>11</v>
      </c>
      <c r="C6" s="27">
        <f>IF(B6="Prémiová syntetická koža – jednofarebná",MAT_KOZA_JEDNO,IF(B6="Prémiová syntetická koža – prešívaná",MAT_KOZA_PRESIV,IF(B6="Prémiová syntetická koža – tónovaná",MAT_KOZA_TONOV,IF(B6="Mikrosemiš – jednofarebný",MAT_MIKRO_JEDNO,IF(B6="Mikrosemiš – dvojfarebný",MAT_MIKRO_DVOJ,0)))))</f>
        <v>0</v>
      </c>
      <c r="D6" s="28" t="s">
        <v>70</v>
      </c>
    </row>
    <row r="7" spans="1:4" x14ac:dyDescent="0.25">
      <c r="A7" s="25" t="s">
        <v>71</v>
      </c>
      <c r="B7" s="26" t="s">
        <v>72</v>
      </c>
      <c r="C7" s="27">
        <v>0</v>
      </c>
      <c r="D7" s="28" t="s">
        <v>73</v>
      </c>
    </row>
    <row r="8" spans="1:4" x14ac:dyDescent="0.25">
      <c r="A8" s="25" t="s">
        <v>74</v>
      </c>
      <c r="B8" s="26" t="s">
        <v>28</v>
      </c>
      <c r="C8" s="27">
        <f>IF(B8="Bez nášiviek",0,IF(B8="Len stred",NAS_STRED,IF(B8="Šofér + spolujazdec",NAS_BOKY,IF(B8="Šofér + spolujazdec + stred (BUNDLE)",NAS_BUNDLE,0))))</f>
        <v>0</v>
      </c>
      <c r="D8" s="28" t="str">
        <f>IF(B8="Šofér + spolujazdec + stred (BUNDLE)","✓ Ušetríte "&amp;TEXT(NAS_BOKY_SAMO+NAS_STRED_SAMO-NAS_BUNDLE,"0")&amp;" € oproti samostatnému výberu!","")</f>
        <v/>
      </c>
    </row>
    <row r="9" spans="1:4" x14ac:dyDescent="0.25">
      <c r="A9" s="25" t="s">
        <v>75</v>
      </c>
      <c r="B9" s="26" t="s">
        <v>72</v>
      </c>
      <c r="C9" s="27">
        <v>0</v>
      </c>
      <c r="D9" s="28" t="s">
        <v>76</v>
      </c>
    </row>
    <row r="10" spans="1:4" x14ac:dyDescent="0.25">
      <c r="A10" s="25" t="s">
        <v>77</v>
      </c>
      <c r="B10" s="26" t="s">
        <v>78</v>
      </c>
      <c r="C10" s="27">
        <f>IF(B10="Áno chcem (v konfigurátore)",TAPACIR_BUNDLE,0)</f>
        <v>0</v>
      </c>
      <c r="D10" s="28" t="str">
        <f>IF(B10="Áno chcem (v konfigurátore)","✓ Bežne "&amp;TEXT(TAPACIR_SAMO,"0")&amp;" €, ušetríte "&amp;TEXT(TAPACIR_SAMO-TAPACIR_BUNDLE,"0")&amp;" €!","")</f>
        <v/>
      </c>
    </row>
    <row r="11" spans="1:4" ht="30" x14ac:dyDescent="0.25">
      <c r="A11" s="25" t="s">
        <v>79</v>
      </c>
      <c r="B11" s="26" t="s">
        <v>72</v>
      </c>
      <c r="C11" s="27">
        <v>0</v>
      </c>
      <c r="D11" s="28" t="s">
        <v>29</v>
      </c>
    </row>
    <row r="12" spans="1:4" x14ac:dyDescent="0.25">
      <c r="A12" s="25" t="s">
        <v>80</v>
      </c>
      <c r="B12" s="26" t="s">
        <v>78</v>
      </c>
      <c r="C12" s="27">
        <f>IF(B12="Áno chcem",NAS_DVERE,0)</f>
        <v>0</v>
      </c>
      <c r="D12" s="28" t="str">
        <f>IF(B12="Áno chcem","Príplatok za nášivku na dverách","")</f>
        <v/>
      </c>
    </row>
    <row r="14" spans="1:4" ht="36" customHeight="1" x14ac:dyDescent="0.25">
      <c r="A14" s="1" t="s">
        <v>81</v>
      </c>
      <c r="B14" s="1"/>
      <c r="C14" s="29">
        <f>SUM(C5:C12)</f>
        <v>199</v>
      </c>
      <c r="D14" s="30" t="s">
        <v>82</v>
      </c>
    </row>
    <row r="16" spans="1:4" ht="24" customHeight="1" x14ac:dyDescent="0.25">
      <c r="A16" s="5" t="s">
        <v>83</v>
      </c>
      <c r="B16" s="5"/>
      <c r="C16" s="5"/>
      <c r="D16" s="5"/>
    </row>
    <row r="17" spans="1:4" ht="24" customHeight="1" x14ac:dyDescent="0.25">
      <c r="A17" s="25" t="s">
        <v>84</v>
      </c>
      <c r="B17" s="31"/>
      <c r="C17" s="32">
        <f>ZAKLAD+IF(B6="Prémiová syntetická koža – jednofarebná",MAT_KOZA_JEDNO,IF(B6="Prémiová syntetická koža – prešívaná",MAT_KOZA_PRESIV,IF(B6="Prémiová syntetická koža – tónovaná",MAT_KOZA_TONOV,IF(B6="Mikrosemiš – jednofarebný",MAT_MIKRO_JEDNO,IF(B6="Mikrosemiš – dvojfarebný",MAT_MIKRO_DVOJ,0)))))+IF(B8="Bez nášiviek",0,IF(B8="Len stred",NAS_STRED_SAMO,IF(B8="Šofér + spolujazdec",NAS_BOKY_SAMO,IF(B8="Šofér + spolujazdec + stred (BUNDLE)",NAS_BOKY_SAMO+NAS_STRED_SAMO,0))))+IF(B10="Áno chcem (v konfigurátore)",TAPACIR_SAMO,0)+IF(B12="Áno chcem",NAS_DVERE,0)</f>
        <v>199</v>
      </c>
      <c r="D17" s="31" t="s">
        <v>85</v>
      </c>
    </row>
    <row r="18" spans="1:4" ht="24" customHeight="1" x14ac:dyDescent="0.25">
      <c r="A18" s="33" t="s">
        <v>86</v>
      </c>
      <c r="B18" s="31"/>
      <c r="C18" s="32">
        <f>C14</f>
        <v>199</v>
      </c>
      <c r="D18" s="31"/>
    </row>
    <row r="19" spans="1:4" ht="24" customHeight="1" x14ac:dyDescent="0.25">
      <c r="A19" s="33" t="s">
        <v>87</v>
      </c>
      <c r="B19" s="31"/>
      <c r="C19" s="34">
        <f>C17-C14</f>
        <v>0</v>
      </c>
      <c r="D19" s="35" t="str">
        <f>IF(C17&gt;0,"= "&amp;TEXT((C17-C14)/C17,"0%")&amp;" zľava oproti mimokonfigurátorovej cene","")</f>
        <v>= 0% zľava oproti mimokonfigurátorovej cene</v>
      </c>
    </row>
  </sheetData>
  <mergeCells count="4">
    <mergeCell ref="A1:D1"/>
    <mergeCell ref="A2:D2"/>
    <mergeCell ref="A14:B14"/>
    <mergeCell ref="A16:D16"/>
  </mergeCells>
  <dataValidations count="4">
    <dataValidation type="list" sqref="B6" xr:uid="{00000000-0002-0000-0100-000000000000}">
      <formula1>"Prémiová syntetická koža – jednofarebná,Prémiová syntetická koža – prešívaná,Prémiová syntetická koža – tónovaná,Mikrosemiš – jednofarebný,Mikrosemiš – dvojfarebný"</formula1>
      <formula2>0</formula2>
    </dataValidation>
    <dataValidation type="list" sqref="B8" xr:uid="{00000000-0002-0000-0100-000001000000}">
      <formula1>"Bez nášiviek,Len stred,Šofér + spolujazdec,Šofér + spolujazdec + stred (BUNDLE)"</formula1>
      <formula2>0</formula2>
    </dataValidation>
    <dataValidation type="list" sqref="B10" xr:uid="{00000000-0002-0000-0100-000002000000}">
      <formula1>"Nie nechcem,Áno chcem (v konfigurátore)"</formula1>
      <formula2>0</formula2>
    </dataValidation>
    <dataValidation type="list" sqref="B12" xr:uid="{00000000-0002-0000-0100-000003000000}">
      <formula1>"Nie nechcem,Áno chcem"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 x14ac:dyDescent="0.25"/>
  <cols>
    <col min="1" max="1" width="38" customWidth="1"/>
    <col min="2" max="6" width="24" customWidth="1"/>
  </cols>
  <sheetData>
    <row r="1" spans="1:6" ht="36" customHeight="1" x14ac:dyDescent="0.25">
      <c r="A1" s="7" t="s">
        <v>88</v>
      </c>
      <c r="B1" s="7"/>
      <c r="C1" s="7"/>
      <c r="D1" s="7"/>
      <c r="E1" s="7"/>
      <c r="F1" s="7"/>
    </row>
    <row r="3" spans="1:6" ht="25.5" customHeight="1" x14ac:dyDescent="0.25">
      <c r="A3" s="8" t="s">
        <v>89</v>
      </c>
      <c r="B3" s="8" t="s">
        <v>90</v>
      </c>
      <c r="C3" s="8" t="s">
        <v>91</v>
      </c>
      <c r="D3" s="8" t="s">
        <v>92</v>
      </c>
      <c r="E3" s="8" t="s">
        <v>93</v>
      </c>
      <c r="F3" s="8" t="s">
        <v>94</v>
      </c>
    </row>
    <row r="4" spans="1:6" ht="25.5" customHeight="1" x14ac:dyDescent="0.25">
      <c r="A4" s="25" t="s">
        <v>95</v>
      </c>
      <c r="B4" s="36" t="s">
        <v>11</v>
      </c>
      <c r="C4" s="36" t="s">
        <v>11</v>
      </c>
      <c r="D4" s="36" t="s">
        <v>13</v>
      </c>
      <c r="E4" s="36" t="s">
        <v>17</v>
      </c>
      <c r="F4" s="36" t="s">
        <v>19</v>
      </c>
    </row>
    <row r="5" spans="1:6" ht="25.5" customHeight="1" x14ac:dyDescent="0.25">
      <c r="A5" s="25" t="s">
        <v>96</v>
      </c>
      <c r="B5" s="36" t="s">
        <v>28</v>
      </c>
      <c r="C5" s="36" t="s">
        <v>97</v>
      </c>
      <c r="D5" s="36" t="s">
        <v>98</v>
      </c>
      <c r="E5" s="36" t="s">
        <v>34</v>
      </c>
      <c r="F5" s="36" t="s">
        <v>34</v>
      </c>
    </row>
    <row r="6" spans="1:6" ht="25.5" customHeight="1" x14ac:dyDescent="0.25">
      <c r="A6" s="25" t="s">
        <v>99</v>
      </c>
      <c r="B6" s="36" t="s">
        <v>78</v>
      </c>
      <c r="C6" s="36" t="s">
        <v>78</v>
      </c>
      <c r="D6" s="36" t="s">
        <v>78</v>
      </c>
      <c r="E6" s="36" t="s">
        <v>100</v>
      </c>
      <c r="F6" s="36" t="s">
        <v>100</v>
      </c>
    </row>
    <row r="7" spans="1:6" ht="25.5" customHeight="1" x14ac:dyDescent="0.25">
      <c r="A7" s="25" t="s">
        <v>101</v>
      </c>
      <c r="B7" s="36" t="s">
        <v>78</v>
      </c>
      <c r="C7" s="36" t="s">
        <v>78</v>
      </c>
      <c r="D7" s="36" t="s">
        <v>78</v>
      </c>
      <c r="E7" s="36" t="s">
        <v>78</v>
      </c>
      <c r="F7" s="36" t="s">
        <v>102</v>
      </c>
    </row>
    <row r="8" spans="1:6" ht="25.5" customHeight="1" x14ac:dyDescent="0.25"/>
    <row r="9" spans="1:6" ht="25.5" customHeight="1" x14ac:dyDescent="0.25">
      <c r="A9" s="25" t="s">
        <v>103</v>
      </c>
      <c r="B9" s="37">
        <f>ZAKLAD+IF(B4="Prémiová syntetická koža – jednofarebná",MAT_KOZA_JEDNO,IF(B4="Prémiová syntetická koža – prešívaná",MAT_KOZA_PRESIV,IF(B4="Prémiová syntetická koža – tónovaná",MAT_KOZA_TONOV,IF(B4="Mikrosemiš – jednofarebný",MAT_MIKRO_JEDNO,IF(B4="Mikrosemiš – dvojfarebný",MAT_MIKRO_DVOJ,0)))))+IF(B5="Bez nášiviek",0,IF(B5="Len stred",NAS_STRED,IF(B5="Šofér + spolujazdec",NAS_BOKY,IF(B5="Šofér + spolujazdec + stred (BUNDLE)",NAS_BUNDLE,0))))+IF(B6="Áno chcem (v konfigurátore)",TAPACIR_BUNDLE,0)+IF(B7="Áno chcem",NAS_DVERE,0)</f>
        <v>199</v>
      </c>
      <c r="C9" s="37">
        <f>ZAKLAD+IF(C4="Prémiová syntetická koža – jednofarebná",MAT_KOZA_JEDNO,IF(C4="Prémiová syntetická koža – prešívaná",MAT_KOZA_PRESIV,IF(C4="Prémiová syntetická koža – tónovaná",MAT_KOZA_TONOV,IF(C4="Mikrosemiš – jednofarebný",MAT_MIKRO_JEDNO,IF(C4="Mikrosemiš – dvojfarebný",MAT_MIKRO_DVOJ,0)))))+IF(C5="Bez nášiviek",0,IF(C5="Len stred",NAS_STRED,IF(C5="Šofér + spolujazdec",NAS_BOKY,IF(C5="Šofér + spolujazdec + stred (BUNDLE)",NAS_BUNDLE,0))))+IF(C6="Áno chcem (v konfigurátore)",TAPACIR_BUNDLE,0)+IF(C7="Áno chcem",NAS_DVERE,0)</f>
        <v>258</v>
      </c>
      <c r="D9" s="37">
        <f>ZAKLAD+IF(D4="Prémiová syntetická koža – jednofarebná",MAT_KOZA_JEDNO,IF(D4="Prémiová syntetická koža – prešívaná",MAT_KOZA_PRESIV,IF(D4="Prémiová syntetická koža – tónovaná",MAT_KOZA_TONOV,IF(D4="Mikrosemiš – jednofarebný",MAT_MIKRO_JEDNO,IF(D4="Mikrosemiš – dvojfarebný",MAT_MIKRO_DVOJ,0)))))+IF(D5="Bez nášiviek",0,IF(D5="Len stred",NAS_STRED,IF(D5="Šofér + spolujazdec",NAS_BOKY,IF(D5="Šofér + spolujazdec + stred (BUNDLE)",NAS_BUNDLE,0))))+IF(D6="Áno chcem (v konfigurátore)",TAPACIR_BUNDLE,0)+IF(D7="Áno chcem",NAS_DVERE,0)</f>
        <v>268</v>
      </c>
      <c r="E9" s="37">
        <f>ZAKLAD+IF(E4="Prémiová syntetická koža – jednofarebná",MAT_KOZA_JEDNO,IF(E4="Prémiová syntetická koža – prešívaná",MAT_KOZA_PRESIV,IF(E4="Prémiová syntetická koža – tónovaná",MAT_KOZA_TONOV,IF(E4="Mikrosemiš – jednofarebný",MAT_MIKRO_JEDNO,IF(E4="Mikrosemiš – dvojfarebný",MAT_MIKRO_DVOJ,0)))))+IF(E5="Bez nášiviek",0,IF(E5="Len stred",NAS_STRED,IF(E5="Šofér + spolujazdec",NAS_BOKY,IF(E5="Šofér + spolujazdec + stred (BUNDLE)",NAS_BUNDLE,0))))+IF(E6="Áno chcem (v konfigurátore)",TAPACIR_BUNDLE,0)+IF(E7="Áno chcem",NAS_DVERE,0)</f>
        <v>453</v>
      </c>
      <c r="F9" s="37">
        <f>ZAKLAD+IF(F4="Prémiová syntetická koža – jednofarebná",MAT_KOZA_JEDNO,IF(F4="Prémiová syntetická koža – prešívaná",MAT_KOZA_PRESIV,IF(F4="Prémiová syntetická koža – tónovaná",MAT_KOZA_TONOV,IF(F4="Mikrosemiš – jednofarebný",MAT_MIKRO_JEDNO,IF(F4="Mikrosemiš – dvojfarebný",MAT_MIKRO_DVOJ,0)))))+IF(F5="Bez nášiviek",0,IF(F5="Len stred",NAS_STRED,IF(F5="Šofér + spolujazdec",NAS_BOKY,IF(F5="Šofér + spolujazdec + stred (BUNDLE)",NAS_BUNDLE,0))))+IF(F6="Áno chcem (v konfigurátore)",TAPACIR_BUNDLE,0)+IF(F7="Áno chcem",NAS_DVERE,0)</f>
        <v>512</v>
      </c>
    </row>
    <row r="10" spans="1:6" ht="25.5" customHeight="1" x14ac:dyDescent="0.25">
      <c r="A10" s="38" t="s">
        <v>104</v>
      </c>
      <c r="B10" s="11">
        <f>ZAKLAD+IF(B4="Prémiová syntetická koža – jednofarebná",MAT_KOZA_JEDNO,IF(B4="Prémiová syntetická koža – prešívaná",MAT_KOZA_PRESIV,IF(B4="Prémiová syntetická koža – tónovaná",MAT_KOZA_TONOV,IF(B4="Mikrosemiš – jednofarebný",MAT_MIKRO_JEDNO,IF(B4="Mikrosemiš – dvojfarebný",MAT_MIKRO_DVOJ,0)))))+IF(B5="Bez nášiviek",0,IF(B5="Len stred",NAS_STRED_SAMO,IF(B5="Šofér + spolujazdec",NAS_BOKY_SAMO,IF(B5="Šofér + spolujazdec + stred (BUNDLE)",NAS_BOKY_SAMO+NAS_STRED_SAMO,0))))+IF(B6="Áno chcem (v konfigurátore)",TAPACIR_SAMO,0)+IF(B7="Áno chcem",NAS_DVERE,0)</f>
        <v>199</v>
      </c>
      <c r="C10" s="11">
        <f>ZAKLAD+IF(C4="Prémiová syntetická koža – jednofarebná",MAT_KOZA_JEDNO,IF(C4="Prémiová syntetická koža – prešívaná",MAT_KOZA_PRESIV,IF(C4="Prémiová syntetická koža – tónovaná",MAT_KOZA_TONOV,IF(C4="Mikrosemiš – jednofarebný",MAT_MIKRO_JEDNO,IF(C4="Mikrosemiš – dvojfarebný",MAT_MIKRO_DVOJ,0)))))+IF(C5="Bez nášiviek",0,IF(C5="Len stred",NAS_STRED_SAMO,IF(C5="Šofér + spolujazdec",NAS_BOKY_SAMO,IF(C5="Šofér + spolujazdec + stred (BUNDLE)",NAS_BOKY_SAMO+NAS_STRED_SAMO,0))))+IF(C6="Áno chcem (v konfigurátore)",TAPACIR_SAMO,0)+IF(C7="Áno chcem",NAS_DVERE,0)</f>
        <v>269</v>
      </c>
      <c r="D10" s="11">
        <f>ZAKLAD+IF(D4="Prémiová syntetická koža – jednofarebná",MAT_KOZA_JEDNO,IF(D4="Prémiová syntetická koža – prešívaná",MAT_KOZA_PRESIV,IF(D4="Prémiová syntetická koža – tónovaná",MAT_KOZA_TONOV,IF(D4="Mikrosemiš – jednofarebný",MAT_MIKRO_JEDNO,IF(D4="Mikrosemiš – dvojfarebný",MAT_MIKRO_DVOJ,0)))))+IF(D5="Bez nášiviek",0,IF(D5="Len stred",NAS_STRED_SAMO,IF(D5="Šofér + spolujazdec",NAS_BOKY_SAMO,IF(D5="Šofér + spolujazdec + stred (BUNDLE)",NAS_BOKY_SAMO+NAS_STRED_SAMO,0))))+IF(D6="Áno chcem (v konfigurátore)",TAPACIR_SAMO,0)+IF(D7="Áno chcem",NAS_DVERE,0)</f>
        <v>279</v>
      </c>
      <c r="E10" s="11">
        <f>ZAKLAD+IF(E4="Prémiová syntetická koža – jednofarebná",MAT_KOZA_JEDNO,IF(E4="Prémiová syntetická koža – prešívaná",MAT_KOZA_PRESIV,IF(E4="Prémiová syntetická koža – tónovaná",MAT_KOZA_TONOV,IF(E4="Mikrosemiš – jednofarebný",MAT_MIKRO_JEDNO,IF(E4="Mikrosemiš – dvojfarebný",MAT_MIKRO_DVOJ,0)))))+IF(E5="Bez nášiviek",0,IF(E5="Len stred",NAS_STRED_SAMO,IF(E5="Šofér + spolujazdec",NAS_BOKY_SAMO,IF(E5="Šofér + spolujazdec + stred (BUNDLE)",NAS_BOKY_SAMO+NAS_STRED_SAMO,0))))+IF(E6="Áno chcem (v konfigurátore)",TAPACIR_SAMO,0)+IF(E7="Áno chcem",NAS_DVERE,0)</f>
        <v>578</v>
      </c>
      <c r="F10" s="11">
        <f>ZAKLAD+IF(F4="Prémiová syntetická koža – jednofarebná",MAT_KOZA_JEDNO,IF(F4="Prémiová syntetická koža – prešívaná",MAT_KOZA_PRESIV,IF(F4="Prémiová syntetická koža – tónovaná",MAT_KOZA_TONOV,IF(F4="Mikrosemiš – jednofarebný",MAT_MIKRO_JEDNO,IF(F4="Mikrosemiš – dvojfarebný",MAT_MIKRO_DVOJ,0)))))+IF(F5="Bez nášiviek",0,IF(F5="Len stred",NAS_STRED_SAMO,IF(F5="Šofér + spolujazdec",NAS_BOKY_SAMO,IF(F5="Šofér + spolujazdec + stred (BUNDLE)",NAS_BOKY_SAMO+NAS_STRED_SAMO,0))))+IF(F6="Áno chcem (v konfigurátore)",TAPACIR_SAMO,0)+IF(F7="Áno chcem",NAS_DVERE,0)</f>
        <v>637</v>
      </c>
    </row>
    <row r="11" spans="1:6" ht="25.5" customHeight="1" x14ac:dyDescent="0.25">
      <c r="A11" s="28" t="s">
        <v>105</v>
      </c>
      <c r="B11" s="34">
        <f>B10-B9</f>
        <v>0</v>
      </c>
      <c r="C11" s="34">
        <f>C10-C9</f>
        <v>11</v>
      </c>
      <c r="D11" s="34">
        <f>D10-D9</f>
        <v>11</v>
      </c>
      <c r="E11" s="34">
        <f>E10-E9</f>
        <v>125</v>
      </c>
      <c r="F11" s="34">
        <f>F10-F9</f>
        <v>125</v>
      </c>
    </row>
    <row r="12" spans="1:6" ht="25.5" customHeight="1" x14ac:dyDescent="0.25">
      <c r="A12" s="28" t="s">
        <v>106</v>
      </c>
      <c r="B12" s="12">
        <f>IFERROR((B10-B9)/B10,0)</f>
        <v>0</v>
      </c>
      <c r="C12" s="12">
        <f>IFERROR((C10-C9)/C10,0)</f>
        <v>4.0892193308550186E-2</v>
      </c>
      <c r="D12" s="12">
        <f>IFERROR((D10-D9)/D10,0)</f>
        <v>3.9426523297491037E-2</v>
      </c>
      <c r="E12" s="12">
        <f>IFERROR((E10-E9)/E10,0)</f>
        <v>0.21626297577854672</v>
      </c>
      <c r="F12" s="12">
        <f>IFERROR((F10-F9)/F10,0)</f>
        <v>0.19623233908948196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Hárky</vt:lpstr>
      </vt:variant>
      <vt:variant>
        <vt:i4>3</vt:i4>
      </vt:variant>
      <vt:variant>
        <vt:lpstr>Pomenované rozsahy</vt:lpstr>
      </vt:variant>
      <vt:variant>
        <vt:i4>14</vt:i4>
      </vt:variant>
    </vt:vector>
  </HeadingPairs>
  <TitlesOfParts>
    <vt:vector size="17" baseType="lpstr">
      <vt:lpstr>Cenník</vt:lpstr>
      <vt:lpstr>Kalkulačka</vt:lpstr>
      <vt:lpstr>Scenáre zákazníkov</vt:lpstr>
      <vt:lpstr>MAT_KOZA_JEDNO</vt:lpstr>
      <vt:lpstr>MAT_KOZA_PRESIV</vt:lpstr>
      <vt:lpstr>MAT_KOZA_TONOV</vt:lpstr>
      <vt:lpstr>MAT_MIKRO_DVOJ</vt:lpstr>
      <vt:lpstr>MAT_MIKRO_JEDNO</vt:lpstr>
      <vt:lpstr>NAS_BOKY</vt:lpstr>
      <vt:lpstr>NAS_BOKY_SAMO</vt:lpstr>
      <vt:lpstr>NAS_BUNDLE</vt:lpstr>
      <vt:lpstr>NAS_DVERE</vt:lpstr>
      <vt:lpstr>NAS_STRED</vt:lpstr>
      <vt:lpstr>NAS_STRED_SAMO</vt:lpstr>
      <vt:lpstr>TAPACIR_BUNDLE</vt:lpstr>
      <vt:lpstr>TAPACIR_SAMO</vt:lpstr>
      <vt:lpstr>ZAKLAD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Michal Švancár</cp:lastModifiedBy>
  <cp:revision>0</cp:revision>
  <dcterms:created xsi:type="dcterms:W3CDTF">2026-04-16T17:43:46Z</dcterms:created>
  <dcterms:modified xsi:type="dcterms:W3CDTF">2026-04-16T21:50:25Z</dcterms:modified>
  <dc:language>en-US</dc:language>
</cp:coreProperties>
</file>